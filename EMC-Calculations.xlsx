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gamal15\Desktop\"/>
    </mc:Choice>
  </mc:AlternateContent>
  <xr:revisionPtr revIDLastSave="0" documentId="13_ncr:1_{145E212E-7BD9-4133-A585-325FE0E62CD6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Limits" sheetId="1" r:id="rId1"/>
    <sheet name="Calculation" sheetId="2" r:id="rId2"/>
    <sheet name="Harmonic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6" i="2" l="1"/>
  <c r="D77" i="2"/>
  <c r="D78" i="2" s="1"/>
  <c r="D67" i="2" l="1"/>
  <c r="D68" i="2" s="1"/>
  <c r="D23" i="2"/>
  <c r="D24" i="2" s="1"/>
  <c r="D58" i="2"/>
  <c r="D48" i="2"/>
  <c r="D47" i="2"/>
  <c r="D37" i="2" l="1"/>
  <c r="D38" i="2" s="1"/>
</calcChain>
</file>

<file path=xl/sharedStrings.xml><?xml version="1.0" encoding="utf-8"?>
<sst xmlns="http://schemas.openxmlformats.org/spreadsheetml/2006/main" count="77" uniqueCount="68">
  <si>
    <t>In a typical power system, the noise profile looks like this:</t>
  </si>
  <si>
    <t>Frequency Range</t>
  </si>
  <si>
    <t>Dominant Noise Type</t>
  </si>
  <si>
    <t>Typical Mitigation</t>
  </si>
  <si>
    <t>&lt; 150 kHz</t>
  </si>
  <si>
    <t>Differential Mode (DM)</t>
  </si>
  <si>
    <t>Large X-Caps, Inductors</t>
  </si>
  <si>
    <t>150 kHz – 10 MHz</t>
  </si>
  <si>
    <t>Mixed (DM &amp; CM)</t>
  </si>
  <si>
    <t>Common Mode Chokes</t>
  </si>
  <si>
    <t>10 MHz – 30 MHz</t>
  </si>
  <si>
    <t>Common Mode (CM)</t>
  </si>
  <si>
    <t>High-frequency chokes, Y-Caps</t>
  </si>
  <si>
    <t>&gt; 30 MHz</t>
  </si>
  <si>
    <t>Radiated CM</t>
  </si>
  <si>
    <t>Ferrite beads, Enclosures</t>
  </si>
  <si>
    <t>Conducted disturbance at mains port (150kHz to 30MHz)</t>
  </si>
  <si>
    <t>Disturbance power (30MHz-300MHz)</t>
  </si>
  <si>
    <t>Radiated disturbance (30MHz to 1000MHz)</t>
  </si>
  <si>
    <t>1. „LC“ = 44dB/Dec</t>
  </si>
  <si>
    <t>Desired damping CM&amp;DM = 44dB @ fsw(100kHz)</t>
  </si>
  <si>
    <t>2. Filter corner frequency</t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</si>
  <si>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SW =</t>
    </r>
  </si>
  <si>
    <t>Khz</t>
  </si>
  <si>
    <r>
      <rPr>
        <b/>
        <sz val="20"/>
        <color theme="1"/>
        <rFont val="Calibri"/>
        <family val="2"/>
        <scheme val="minor"/>
      </rPr>
      <t>A</t>
    </r>
    <r>
      <rPr>
        <b/>
        <sz val="10"/>
        <color theme="1"/>
        <rFont val="Calibri"/>
        <family val="2"/>
        <scheme val="minor"/>
      </rPr>
      <t>FSW(dB) =</t>
    </r>
  </si>
  <si>
    <t>dB</t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</si>
  <si>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co =</t>
    </r>
  </si>
  <si>
    <t>Hz</t>
  </si>
  <si>
    <r>
      <t xml:space="preserve">3. Define </t>
    </r>
    <r>
      <rPr>
        <b/>
        <sz val="12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-caps --&gt; 10nF x 2 --&gt; 20nF total </t>
    </r>
    <r>
      <rPr>
        <b/>
        <sz val="12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y</t>
    </r>
  </si>
  <si>
    <r>
      <t xml:space="preserve">4. Define </t>
    </r>
    <r>
      <rPr>
        <b/>
        <sz val="12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_cm for </t>
    </r>
    <r>
      <rPr>
        <b/>
        <sz val="12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c = 7.94kHz</t>
    </r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</si>
  <si>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YT =</t>
    </r>
  </si>
  <si>
    <r>
      <rPr>
        <b/>
        <sz val="20"/>
        <color theme="1"/>
        <rFont val="Calibri"/>
        <family val="2"/>
        <scheme val="minor"/>
      </rPr>
      <t>L</t>
    </r>
    <r>
      <rPr>
        <b/>
        <sz val="10"/>
        <color theme="1"/>
        <rFont val="Calibri"/>
        <family val="2"/>
        <scheme val="minor"/>
      </rPr>
      <t>CM =</t>
    </r>
  </si>
  <si>
    <t>H</t>
  </si>
  <si>
    <t>mH</t>
  </si>
  <si>
    <t>5. 𝐴𝑐𝑡𝑢𝑎𝑙 𝑓𝑐𝑚</t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</si>
  <si>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CM =</t>
    </r>
  </si>
  <si>
    <r>
      <t xml:space="preserve">6. Actual </t>
    </r>
    <r>
      <rPr>
        <b/>
        <sz val="12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fsw-cm</t>
    </r>
  </si>
  <si>
    <r>
      <rPr>
        <b/>
        <sz val="20"/>
        <color theme="1"/>
        <rFont val="Calibri"/>
        <family val="2"/>
        <scheme val="minor"/>
      </rPr>
      <t>A</t>
    </r>
    <r>
      <rPr>
        <b/>
        <sz val="10"/>
        <color theme="1"/>
        <rFont val="Calibri"/>
        <family val="2"/>
        <scheme val="minor"/>
      </rPr>
      <t>FSW-CM =</t>
    </r>
  </si>
  <si>
    <t>7. Define Cx</t>
  </si>
  <si>
    <r>
      <rPr>
        <b/>
        <sz val="20"/>
        <color theme="1"/>
        <rFont val="Calibri"/>
        <family val="2"/>
        <scheme val="minor"/>
      </rPr>
      <t>C</t>
    </r>
    <r>
      <rPr>
        <b/>
        <sz val="10"/>
        <color theme="1"/>
        <rFont val="Calibri"/>
        <family val="2"/>
        <scheme val="minor"/>
      </rPr>
      <t>X =</t>
    </r>
  </si>
  <si>
    <r>
      <rPr>
        <b/>
        <sz val="20"/>
        <color theme="1"/>
        <rFont val="Calibri"/>
        <family val="2"/>
        <scheme val="minor"/>
      </rPr>
      <t>L</t>
    </r>
    <r>
      <rPr>
        <b/>
        <sz val="10"/>
        <color theme="1"/>
        <rFont val="Calibri"/>
        <family val="2"/>
        <scheme val="minor"/>
      </rPr>
      <t>dm =</t>
    </r>
  </si>
  <si>
    <t>Common Mode Choke leakage Inductance</t>
  </si>
  <si>
    <t>nF</t>
  </si>
  <si>
    <t>F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</si>
  <si>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F</t>
    </r>
  </si>
  <si>
    <t>µH</t>
  </si>
  <si>
    <t xml:space="preserve"> CY1 = 10nF - CY2  = 10nF</t>
  </si>
  <si>
    <t>LCM = 36mH chosen</t>
  </si>
  <si>
    <r>
      <t>CX = 2.2</t>
    </r>
    <r>
      <rPr>
        <b/>
        <sz val="10"/>
        <color theme="1"/>
        <rFont val="Calibri"/>
        <family val="2"/>
      </rPr>
      <t>µ</t>
    </r>
    <r>
      <rPr>
        <b/>
        <sz val="10"/>
        <color theme="1"/>
        <rFont val="Calibri"/>
        <family val="2"/>
        <scheme val="minor"/>
      </rPr>
      <t>H chosen</t>
    </r>
  </si>
  <si>
    <t>8. 𝐴𝑐𝑡𝑢𝑎𝑙 𝑓𝑑𝑚</t>
  </si>
  <si>
    <r>
      <rPr>
        <b/>
        <sz val="20"/>
        <color theme="1"/>
        <rFont val="Calibri"/>
        <family val="2"/>
        <scheme val="minor"/>
      </rPr>
      <t>F</t>
    </r>
    <r>
      <rPr>
        <b/>
        <sz val="10"/>
        <color theme="1"/>
        <rFont val="Calibri"/>
        <family val="2"/>
        <scheme val="minor"/>
      </rPr>
      <t>dm =</t>
    </r>
  </si>
  <si>
    <t>9. 𝐴𝑐𝑡𝑢𝑎𝑙 A𝑑𝑚</t>
  </si>
  <si>
    <t>Summary Checklist for Harmonics</t>
  </si>
  <si>
    <t>Component</t>
  </si>
  <si>
    <t>Modification</t>
  </si>
  <si>
    <t>Effect</t>
  </si>
  <si>
    <t>Bridge Rectifier</t>
  </si>
  <si>
    <t>Use "Fast" or "Soft" recovery diodes</t>
  </si>
  <si>
    <t>Reduces high-order switching harmonics</t>
  </si>
  <si>
    <t>Inductors</t>
  </si>
  <si>
    <t>Increase DM Inductance</t>
  </si>
  <si>
    <t>Widens conduction angle; lowers $THD$</t>
  </si>
  <si>
    <t>Capacitor</t>
  </si>
  <si>
    <t>Decrease Bulk Capacitance</t>
  </si>
  <si>
    <t>Reduces peak current magnitude</t>
  </si>
  <si>
    <t>Circuitry</t>
  </si>
  <si>
    <t>Add Active PFC</t>
  </si>
  <si>
    <t>Gold standard for passing IEC 61000-3-2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</si>
</sst>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3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271525</xdr:colOff>
      <xdr:row>5</xdr:row>
      <xdr:rowOff>121920</xdr:rowOff>
    </xdr:from>
    <xdr:to>
      <xdr:col>5</xdr:col>
      <xdr:colOff>140539</xdr:colOff>
      <xdr:row>16</xdr:row>
      <xdr:rowOff>28267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040EC-F906-485B-B4CD-99A89FE6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125" y="1036320"/>
          <a:ext cx="2680794" cy="191802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29</xdr:row>
      <xdr:rowOff>148204</xdr:rowOff>
    </xdr:from>
    <xdr:to>
      <xdr:col>4</xdr:col>
      <xdr:colOff>384622</xdr:colOff>
      <xdr:row>33</xdr:row>
      <xdr:rowOff>112325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56D7D-C6E6-4F92-9013-61A5C36FC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6061324"/>
          <a:ext cx="1862902" cy="695641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41</xdr:row>
      <xdr:rowOff>8468</xdr:rowOff>
    </xdr:from>
    <xdr:to>
      <xdr:col>4</xdr:col>
      <xdr:colOff>476057</xdr:colOff>
      <xdr:row>45</xdr:row>
      <xdr:rowOff>70404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93BF8E-C202-4D8B-BBB3-D9F1B0B87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4940" y="8405708"/>
          <a:ext cx="1862897" cy="793456"/>
        </a:xfrm>
        <a:prstGeom prst="rect">
          <a:avLst/>
        </a:prstGeom>
      </xdr:spPr>
    </xdr:pic>
    <xdr:clientData/>
  </xdr:twoCellAnchor>
  <xdr:twoCellAnchor editAs="oneCell">
    <xdr:from>
      <xdr:col>1</xdr:col>
      <xdr:colOff>405344</xdr:colOff>
      <xdr:row>52</xdr:row>
      <xdr:rowOff>30480</xdr:rowOff>
    </xdr:from>
    <xdr:to>
      <xdr:col>5</xdr:col>
      <xdr:colOff>108435</xdr:colOff>
      <xdr:row>56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0AC008-A7C9-4BA4-BF58-B96623AC4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53972"/>
        <a:stretch/>
      </xdr:blipFill>
      <xdr:spPr>
        <a:xfrm>
          <a:off x="1014944" y="10744200"/>
          <a:ext cx="2514871" cy="830580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60</xdr:row>
      <xdr:rowOff>114300</xdr:rowOff>
    </xdr:from>
    <xdr:to>
      <xdr:col>3</xdr:col>
      <xdr:colOff>704662</xdr:colOff>
      <xdr:row>63</xdr:row>
      <xdr:rowOff>118041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53CA21-9302-4B87-82AC-8BE73745D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8720" y="12435840"/>
          <a:ext cx="1504762" cy="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556260</xdr:colOff>
      <xdr:row>71</xdr:row>
      <xdr:rowOff>167640</xdr:rowOff>
    </xdr:from>
    <xdr:to>
      <xdr:col>3</xdr:col>
      <xdr:colOff>757992</xdr:colOff>
      <xdr:row>74</xdr:row>
      <xdr:rowOff>180905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EA56B8-9BB8-4739-9DC2-2F6CD671B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5860" y="14874240"/>
          <a:ext cx="1580952" cy="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80</xdr:row>
      <xdr:rowOff>161736</xdr:rowOff>
    </xdr:from>
    <xdr:to>
      <xdr:col>4</xdr:col>
      <xdr:colOff>429986</xdr:colOff>
      <xdr:row>84</xdr:row>
      <xdr:rowOff>96084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0BE42F-196F-4040-8F8C-EFE341115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4440" y="16803816"/>
          <a:ext cx="2007326" cy="665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2"/>
  <sheetViews>
    <sheetView workbookViewId="0">
      <selection activeCell="C13" sqref="C13"/>
    </sheetView>
  </sheetViews>
  <sheetFormatPr defaultRowHeight="14.4" x14ac:dyDescent="0.3"/>
  <cols>
    <col min="3" max="3" width="28.21875" customWidth="1"/>
    <col min="4" max="4" width="27.6640625" customWidth="1"/>
    <col min="5" max="5" width="32.109375" customWidth="1"/>
  </cols>
  <sheetData>
    <row r="3" spans="3:5" x14ac:dyDescent="0.3">
      <c r="C3" s="1" t="s">
        <v>0</v>
      </c>
    </row>
    <row r="4" spans="3:5" x14ac:dyDescent="0.3">
      <c r="C4" s="1" t="s">
        <v>16</v>
      </c>
    </row>
    <row r="5" spans="3:5" x14ac:dyDescent="0.3">
      <c r="C5" s="1" t="s">
        <v>17</v>
      </c>
    </row>
    <row r="6" spans="3:5" x14ac:dyDescent="0.3">
      <c r="C6" s="1" t="s">
        <v>18</v>
      </c>
    </row>
    <row r="7" spans="3:5" ht="15" thickBot="1" x14ac:dyDescent="0.35"/>
    <row r="8" spans="3:5" ht="16.2" thickBot="1" x14ac:dyDescent="0.35">
      <c r="C8" s="3" t="s">
        <v>1</v>
      </c>
      <c r="D8" s="3" t="s">
        <v>2</v>
      </c>
      <c r="E8" s="3" t="s">
        <v>3</v>
      </c>
    </row>
    <row r="9" spans="3:5" ht="15" thickBot="1" x14ac:dyDescent="0.35">
      <c r="C9" s="2" t="s">
        <v>4</v>
      </c>
      <c r="D9" s="2" t="s">
        <v>5</v>
      </c>
      <c r="E9" s="2" t="s">
        <v>6</v>
      </c>
    </row>
    <row r="10" spans="3:5" ht="15" thickBot="1" x14ac:dyDescent="0.35">
      <c r="C10" s="2" t="s">
        <v>7</v>
      </c>
      <c r="D10" s="2" t="s">
        <v>8</v>
      </c>
      <c r="E10" s="2" t="s">
        <v>9</v>
      </c>
    </row>
    <row r="11" spans="3:5" ht="15" thickBot="1" x14ac:dyDescent="0.35">
      <c r="C11" s="2" t="s">
        <v>10</v>
      </c>
      <c r="D11" s="2" t="s">
        <v>11</v>
      </c>
      <c r="E11" s="2" t="s">
        <v>12</v>
      </c>
    </row>
    <row r="12" spans="3:5" ht="15" thickBot="1" x14ac:dyDescent="0.35">
      <c r="C12" s="2" t="s">
        <v>13</v>
      </c>
      <c r="D12" s="2" t="s">
        <v>14</v>
      </c>
      <c r="E12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AB7F-84D8-4B6F-878D-F1FAE6661672}">
  <dimension ref="B2:F86"/>
  <sheetViews>
    <sheetView topLeftCell="A73" workbookViewId="0">
      <selection activeCell="D94" sqref="D94"/>
    </sheetView>
  </sheetViews>
  <sheetFormatPr defaultRowHeight="14.4" x14ac:dyDescent="0.3"/>
  <cols>
    <col min="3" max="3" width="11.21875" bestFit="1" customWidth="1"/>
    <col min="4" max="4" width="12" bestFit="1" customWidth="1"/>
    <col min="6" max="6" width="36" bestFit="1" customWidth="1"/>
  </cols>
  <sheetData>
    <row r="2" spans="2:2" x14ac:dyDescent="0.3">
      <c r="B2" t="s">
        <v>20</v>
      </c>
    </row>
    <row r="4" spans="2:2" x14ac:dyDescent="0.3">
      <c r="B4" t="s">
        <v>19</v>
      </c>
    </row>
    <row r="5" spans="2:2" x14ac:dyDescent="0.3">
      <c r="B5" t="s">
        <v>21</v>
      </c>
    </row>
    <row r="19" spans="2:5" ht="25.8" x14ac:dyDescent="0.3">
      <c r="C19" s="4" t="s">
        <v>22</v>
      </c>
      <c r="D19" s="5">
        <v>100</v>
      </c>
      <c r="E19" s="5" t="s">
        <v>23</v>
      </c>
    </row>
    <row r="21" spans="2:5" ht="25.8" x14ac:dyDescent="0.3">
      <c r="C21" s="4" t="s">
        <v>24</v>
      </c>
      <c r="D21" s="5">
        <v>44</v>
      </c>
      <c r="E21" s="5" t="s">
        <v>25</v>
      </c>
    </row>
    <row r="23" spans="2:5" ht="25.8" x14ac:dyDescent="0.3">
      <c r="C23" s="4" t="s">
        <v>26</v>
      </c>
      <c r="D23" s="6">
        <f>(D19*10^3)/(10^(D21/40))</f>
        <v>7943.2823472428099</v>
      </c>
      <c r="E23" s="5" t="s">
        <v>27</v>
      </c>
    </row>
    <row r="24" spans="2:5" ht="25.8" x14ac:dyDescent="0.3">
      <c r="C24" s="4" t="s">
        <v>26</v>
      </c>
      <c r="D24" s="6">
        <f>D23/1000</f>
        <v>7.9432823472428096</v>
      </c>
      <c r="E24" s="5" t="s">
        <v>23</v>
      </c>
    </row>
    <row r="27" spans="2:5" ht="15.6" x14ac:dyDescent="0.3">
      <c r="B27" t="s">
        <v>28</v>
      </c>
    </row>
    <row r="29" spans="2:5" ht="15.6" x14ac:dyDescent="0.3">
      <c r="B29" t="s">
        <v>29</v>
      </c>
    </row>
    <row r="35" spans="2:6" ht="25.8" x14ac:dyDescent="0.3">
      <c r="C35" s="4" t="s">
        <v>30</v>
      </c>
      <c r="D35" s="5">
        <v>20</v>
      </c>
      <c r="E35" s="5" t="s">
        <v>42</v>
      </c>
      <c r="F35" s="8" t="s">
        <v>46</v>
      </c>
    </row>
    <row r="37" spans="2:6" ht="25.8" x14ac:dyDescent="0.3">
      <c r="C37" s="4" t="s">
        <v>31</v>
      </c>
      <c r="D37">
        <f>1/(((2*PI()*D23)^2)*(D35*10^-9))</f>
        <v>2.0072906775855458E-2</v>
      </c>
      <c r="E37" t="s">
        <v>32</v>
      </c>
    </row>
    <row r="38" spans="2:6" ht="21" customHeight="1" x14ac:dyDescent="0.3">
      <c r="D38">
        <f>D37*1000</f>
        <v>20.072906775855458</v>
      </c>
      <c r="E38" t="s">
        <v>33</v>
      </c>
      <c r="F38" s="8" t="s">
        <v>47</v>
      </c>
    </row>
    <row r="40" spans="2:6" x14ac:dyDescent="0.3">
      <c r="B40" t="s">
        <v>34</v>
      </c>
    </row>
    <row r="47" spans="2:6" ht="25.8" x14ac:dyDescent="0.3">
      <c r="C47" s="4" t="s">
        <v>35</v>
      </c>
      <c r="D47" s="5">
        <f>1/(2*PI()*SQRT(36*10^-3*20*10^-9))</f>
        <v>5931.354528476475</v>
      </c>
      <c r="E47" s="5" t="s">
        <v>27</v>
      </c>
    </row>
    <row r="48" spans="2:6" ht="25.8" x14ac:dyDescent="0.3">
      <c r="C48" s="4" t="s">
        <v>35</v>
      </c>
      <c r="D48" s="6">
        <f>D47/1000</f>
        <v>5.9313545284764748</v>
      </c>
      <c r="E48" s="5" t="s">
        <v>23</v>
      </c>
    </row>
    <row r="51" spans="2:5" ht="15.6" x14ac:dyDescent="0.3">
      <c r="B51" s="7" t="s">
        <v>36</v>
      </c>
    </row>
    <row r="58" spans="2:5" ht="25.8" x14ac:dyDescent="0.3">
      <c r="C58" s="4" t="s">
        <v>37</v>
      </c>
      <c r="D58" s="5">
        <f>LOG(D19/D48)*40</f>
        <v>49.07384466294998</v>
      </c>
      <c r="E58" s="5"/>
    </row>
    <row r="60" spans="2:5" x14ac:dyDescent="0.3">
      <c r="B60" t="s">
        <v>38</v>
      </c>
    </row>
    <row r="65" spans="2:6" ht="25.8" x14ac:dyDescent="0.3">
      <c r="C65" s="4" t="s">
        <v>40</v>
      </c>
      <c r="D65" s="5">
        <v>200</v>
      </c>
      <c r="E65" s="5" t="s">
        <v>45</v>
      </c>
      <c r="F65" s="5" t="s">
        <v>41</v>
      </c>
    </row>
    <row r="67" spans="2:6" ht="25.8" x14ac:dyDescent="0.3">
      <c r="C67" s="4" t="s">
        <v>39</v>
      </c>
      <c r="D67" s="5">
        <f>1/(((2*PI()*D23)^2)*(D65*10^-6))</f>
        <v>2.007290677585546E-6</v>
      </c>
      <c r="E67" s="5" t="s">
        <v>43</v>
      </c>
    </row>
    <row r="68" spans="2:6" x14ac:dyDescent="0.3">
      <c r="D68" s="5">
        <f>D67*10^6</f>
        <v>2.0072906775855461</v>
      </c>
      <c r="E68" s="5" t="s">
        <v>44</v>
      </c>
      <c r="F68" s="8" t="s">
        <v>48</v>
      </c>
    </row>
    <row r="70" spans="2:6" x14ac:dyDescent="0.3">
      <c r="B70" t="s">
        <v>49</v>
      </c>
    </row>
    <row r="77" spans="2:6" ht="25.8" x14ac:dyDescent="0.3">
      <c r="C77" s="4" t="s">
        <v>50</v>
      </c>
      <c r="D77" s="5">
        <f>1/(2*PI()*SQRT(200*10^-6*2.2*10^-6))</f>
        <v>7587.4142065816714</v>
      </c>
      <c r="E77" s="5" t="s">
        <v>27</v>
      </c>
    </row>
    <row r="78" spans="2:6" ht="25.8" x14ac:dyDescent="0.3">
      <c r="C78" s="4" t="s">
        <v>50</v>
      </c>
      <c r="D78" s="6">
        <f>D77/1000</f>
        <v>7.5874142065816716</v>
      </c>
      <c r="E78" s="5" t="s">
        <v>23</v>
      </c>
    </row>
    <row r="80" spans="2:6" x14ac:dyDescent="0.3">
      <c r="B80" t="s">
        <v>51</v>
      </c>
    </row>
    <row r="86" spans="3:4" ht="25.8" x14ac:dyDescent="0.3">
      <c r="C86" s="4" t="s">
        <v>37</v>
      </c>
      <c r="D86" s="5">
        <f>LOG(D19/D78)*40</f>
        <v>44.796248264048344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038F-61F4-453F-9D67-43682C57C34C}">
  <dimension ref="B3:D9"/>
  <sheetViews>
    <sheetView tabSelected="1" workbookViewId="0">
      <selection activeCell="C14" sqref="C14"/>
    </sheetView>
  </sheetViews>
  <sheetFormatPr defaultRowHeight="14.4" x14ac:dyDescent="0.3"/>
  <cols>
    <col min="2" max="2" width="43.88671875" bestFit="1" customWidth="1"/>
    <col min="3" max="3" width="36.6640625" customWidth="1"/>
    <col min="4" max="4" width="41.44140625" customWidth="1"/>
  </cols>
  <sheetData>
    <row r="3" spans="2:4" ht="17.399999999999999" x14ac:dyDescent="0.3">
      <c r="B3" s="9" t="s">
        <v>52</v>
      </c>
    </row>
    <row r="4" spans="2:4" ht="15" thickBot="1" x14ac:dyDescent="0.35"/>
    <row r="5" spans="2:4" ht="16.2" thickBot="1" x14ac:dyDescent="0.35">
      <c r="B5" s="3" t="s">
        <v>53</v>
      </c>
      <c r="C5" s="3" t="s">
        <v>54</v>
      </c>
      <c r="D5" s="3" t="s">
        <v>55</v>
      </c>
    </row>
    <row r="6" spans="2:4" ht="39.6" customHeight="1" thickBot="1" x14ac:dyDescent="0.35">
      <c r="B6" s="2" t="s">
        <v>56</v>
      </c>
      <c r="C6" s="2" t="s">
        <v>57</v>
      </c>
      <c r="D6" s="2" t="s">
        <v>58</v>
      </c>
    </row>
    <row r="7" spans="2:4" ht="38.4" customHeight="1" thickBot="1" x14ac:dyDescent="0.35">
      <c r="B7" s="2" t="s">
        <v>59</v>
      </c>
      <c r="C7" s="2" t="s">
        <v>60</v>
      </c>
      <c r="D7" s="2" t="s">
        <v>61</v>
      </c>
    </row>
    <row r="8" spans="2:4" ht="35.4" customHeight="1" thickBot="1" x14ac:dyDescent="0.35">
      <c r="B8" s="2" t="s">
        <v>62</v>
      </c>
      <c r="C8" s="2" t="s">
        <v>63</v>
      </c>
      <c r="D8" s="2" t="s">
        <v>64</v>
      </c>
    </row>
    <row r="9" spans="2:4" ht="30.6" customHeight="1" thickBot="1" x14ac:dyDescent="0.35">
      <c r="B9" s="2" t="s">
        <v>65</v>
      </c>
      <c r="C9" s="2" t="s">
        <v>66</v>
      </c>
      <c r="D9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Limits</vt:lpstr>
      <vt:lpstr>Calculation</vt:lpstr>
      <vt:lpstr>Harmonics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Gamal Mahmoud</dc:creator>
  <cp:lastModifiedBy>Mahmoud Gamal Mahmoud</cp:lastModifiedBy>
  <dcterms:created xsi:type="dcterms:W3CDTF">2015-06-05T18:17:20Z</dcterms:created>
  <dcterms:modified xsi:type="dcterms:W3CDTF">2026-02-23T08:24:47Z</dcterms:modified>
</cp:coreProperties>
</file>