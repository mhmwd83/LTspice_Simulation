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D:\document\Calculators\"/>
    </mc:Choice>
  </mc:AlternateContent>
  <xr:revisionPtr revIDLastSave="6" documentId="13_ncr:1_{D9AF5986-8CCA-44E3-B49C-EFE7A094B975}" xr6:coauthVersionLast="47" xr6:coauthVersionMax="47" xr10:uidLastSave="{1D54FF3C-D41E-4BBC-A4E7-E92716CF0940}"/>
  <bookViews>
    <workbookView xWindow="0" yWindow="0" windowWidth="22260" windowHeight="12648" xr2:uid="{00000000-000D-0000-FFFF-FFFF00000000}"/>
  </bookViews>
  <sheets>
    <sheet name="inputs" sheetId="7" r:id="rId1"/>
    <sheet name="Maximum Power dissiption of the" sheetId="4" r:id="rId2"/>
    <sheet name="Varistor Voltage @ the short ci" sheetId="3" r:id="rId3"/>
    <sheet name="The clamping voltage of the Var" sheetId="2" r:id="rId4"/>
    <sheet name="EXAMPLE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6" l="1"/>
  <c r="B19" i="7"/>
  <c r="C19" i="7" s="1"/>
  <c r="B14" i="7"/>
  <c r="B15" i="7" s="1"/>
  <c r="B13" i="7"/>
  <c r="B19" i="6"/>
  <c r="C19" i="6" s="1"/>
  <c r="B14" i="6"/>
  <c r="B15" i="6" l="1"/>
  <c r="B17" i="6" s="1"/>
  <c r="C17" i="6" s="1"/>
  <c r="B17" i="7"/>
  <c r="C17" i="7" s="1"/>
  <c r="B18" i="7"/>
  <c r="C18" i="7" s="1"/>
  <c r="B18" i="6"/>
  <c r="C18" i="6" s="1"/>
</calcChain>
</file>

<file path=xl/sharedStrings.xml><?xml version="1.0" encoding="utf-8"?>
<sst xmlns="http://schemas.openxmlformats.org/spreadsheetml/2006/main" count="61" uniqueCount="30">
  <si>
    <t>INPUTS</t>
  </si>
  <si>
    <t>Input Parameters</t>
  </si>
  <si>
    <t>Value</t>
  </si>
  <si>
    <t>Note</t>
  </si>
  <si>
    <t>Applied Surge Test Voltage</t>
  </si>
  <si>
    <t>From IEC--61000-4-5
*Set the worst as 2KV* IN V</t>
  </si>
  <si>
    <t>Input Voltage (AC)</t>
  </si>
  <si>
    <t>AC main Input in V</t>
  </si>
  <si>
    <t>Maximum Power dissiption of the varistor</t>
  </si>
  <si>
    <t>FROM DATASHEET IN WATT</t>
  </si>
  <si>
    <t>maximum possible energy 
absorption</t>
  </si>
  <si>
    <t>In Joules</t>
  </si>
  <si>
    <t>Varistor Voltage @ the short circuit conditions</t>
  </si>
  <si>
    <t>From datasheet of the Varistor in 
V/I Curve at the short circuit conditons in V (see the pages)</t>
  </si>
  <si>
    <t>The clamping voltage of the Varistor at the actual of current in the varistor</t>
  </si>
  <si>
    <t>From datasheet of the Varistor in 
V/I Curve at actual current flowing through varistor in V (see the pages)</t>
  </si>
  <si>
    <t>Maximum allowed clamping voltage</t>
  </si>
  <si>
    <t>(Dependes on the reverse voltage of the rectifier usually) in V
EX (14007 RECTIFIRE IS 1000V reverse voltage) OR MAXIMUM REQUIRED V CLAMP OF THE SYSTEM</t>
  </si>
  <si>
    <t>Automatic Equations calaculation</t>
  </si>
  <si>
    <t>Maximum Short Circuit current (Automatic calculated)</t>
  </si>
  <si>
    <t>(NOT input leave the equation alone) IN A</t>
  </si>
  <si>
    <t>Actual Current in the Varistor</t>
  </si>
  <si>
    <t xml:space="preserve"> calaculated in A</t>
  </si>
  <si>
    <t>The Maximum Energy from the pulses</t>
  </si>
  <si>
    <t xml:space="preserve"> calaculated in A in JULE</t>
  </si>
  <si>
    <t>Automatic Checklist of the selection</t>
  </si>
  <si>
    <t>does the varistor have the enough time to cool</t>
  </si>
  <si>
    <t>does the varistor have the ability to abosrb the surge energy</t>
  </si>
  <si>
    <t>does the varistor Complies with the Required max clamp voltage needed</t>
  </si>
  <si>
    <t xml:space="preserve">EXTRACTED FROM DATASHEET EX TVR10431KSY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</si>
</sst>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167640</xdr:rowOff>
    </xdr:from>
    <xdr:to>
      <xdr:col>2</xdr:col>
      <xdr:colOff>266907</xdr:colOff>
      <xdr:row>20</xdr:row>
      <xdr:rowOff>107105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D65341-C836-4E5C-BBBF-E7FE50C67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6280"/>
          <a:ext cx="1486107" cy="3048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38100</xdr:rowOff>
    </xdr:from>
    <xdr:to>
      <xdr:col>17</xdr:col>
      <xdr:colOff>468237</xdr:colOff>
      <xdr:row>42</xdr:row>
      <xdr:rowOff>80986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4F2EDF-BA7E-4F1A-8F50-BDD4D0B0F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9620"/>
          <a:ext cx="10831437" cy="69923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68580</xdr:rowOff>
    </xdr:from>
    <xdr:to>
      <xdr:col>17</xdr:col>
      <xdr:colOff>468237</xdr:colOff>
      <xdr:row>42</xdr:row>
      <xdr:rowOff>111466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E87924-C5D6-41BA-B68A-1B0967521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0100"/>
          <a:ext cx="10831437" cy="69923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857F-2813-4E3E-835E-30F30F86276D}">
  <dimension ref="A1:N34"/>
  <sheetViews>
    <sheetView tabSelected="1" workbookViewId="0">
      <selection activeCell="B9" sqref="B9"/>
    </sheetView>
  </sheetViews>
  <sheetFormatPr defaultRowHeight="14.45"/>
  <cols>
    <col min="1" max="1" width="43.140625" customWidth="1"/>
    <col min="2" max="2" width="28" customWidth="1"/>
    <col min="3" max="3" width="71.42578125" customWidth="1"/>
  </cols>
  <sheetData>
    <row r="1" spans="1:14" ht="28.9">
      <c r="A1" s="6" t="s">
        <v>0</v>
      </c>
      <c r="B1" s="6"/>
      <c r="C1" s="6"/>
    </row>
    <row r="2" spans="1:14">
      <c r="A2" s="2" t="s">
        <v>1</v>
      </c>
      <c r="B2" s="2" t="s">
        <v>2</v>
      </c>
      <c r="C2" s="2" t="s">
        <v>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8.9">
      <c r="A3" s="4" t="s">
        <v>4</v>
      </c>
      <c r="B3" s="3">
        <v>2000</v>
      </c>
      <c r="C3" s="4" t="s">
        <v>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4" t="s">
        <v>6</v>
      </c>
      <c r="B4" s="3">
        <v>242</v>
      </c>
      <c r="C4" s="3" t="s">
        <v>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4" t="s">
        <v>8</v>
      </c>
      <c r="B5" s="3">
        <v>0.6</v>
      </c>
      <c r="C5" s="3" t="s">
        <v>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>
      <c r="A6" s="3" t="s">
        <v>10</v>
      </c>
      <c r="B6" s="3">
        <v>125</v>
      </c>
      <c r="C6" s="3" t="s">
        <v>11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30.75">
      <c r="A7" s="4" t="s">
        <v>12</v>
      </c>
      <c r="B7" s="3">
        <v>900</v>
      </c>
      <c r="C7" s="4" t="s">
        <v>13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43.15">
      <c r="A8" s="4" t="s">
        <v>14</v>
      </c>
      <c r="B8" s="3">
        <v>700</v>
      </c>
      <c r="C8" s="4" t="s">
        <v>15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57.6">
      <c r="A9" s="4" t="s">
        <v>16</v>
      </c>
      <c r="B9" s="3">
        <v>1000</v>
      </c>
      <c r="C9" s="4" t="s">
        <v>17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5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28.9">
      <c r="A12" s="7" t="s">
        <v>18</v>
      </c>
      <c r="B12" s="7"/>
      <c r="C12" s="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28.9">
      <c r="A13" s="4" t="s">
        <v>19</v>
      </c>
      <c r="B13" s="3">
        <f>(B3+(B4*1.414))/2</f>
        <v>1171.0940000000001</v>
      </c>
      <c r="C13" s="3" t="s">
        <v>20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4" t="s">
        <v>21</v>
      </c>
      <c r="B14" s="3">
        <f>((B3+(B4*1.414)-B7)/2)</f>
        <v>721.09400000000005</v>
      </c>
      <c r="C14" s="3" t="s">
        <v>22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4" t="s">
        <v>23</v>
      </c>
      <c r="B15" s="3">
        <f>(B14*B8*16.928*10^-6)</f>
        <v>8.5446754624000008</v>
      </c>
      <c r="C15" s="3" t="s">
        <v>24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28.9">
      <c r="A16" s="7" t="s">
        <v>25</v>
      </c>
      <c r="B16" s="7"/>
      <c r="C16" s="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4" t="s">
        <v>26</v>
      </c>
      <c r="B17" s="3" t="str">
        <f>IF((B15/B5)&lt;60,"YES","NO")</f>
        <v>YES</v>
      </c>
      <c r="C17" s="3" t="str">
        <f>IF(B17="YES","Safe to use","Not safe to use")</f>
        <v>Safe to use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28.9">
      <c r="A18" s="4" t="s">
        <v>27</v>
      </c>
      <c r="B18" s="3" t="str">
        <f>IF((B15)&lt;B6,"YES","NO")</f>
        <v>YES</v>
      </c>
      <c r="C18" s="3" t="str">
        <f>IF(B18="YES","Safe to use","Not safe to use")</f>
        <v>Safe to use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28.9">
      <c r="A19" s="4" t="s">
        <v>28</v>
      </c>
      <c r="B19" s="3" t="str">
        <f>IF(B8&lt;B9,"YES","NO")</f>
        <v>YES</v>
      </c>
      <c r="C19" s="3" t="str">
        <f>IF(B19="YES","Safe to use","Not safe to use")</f>
        <v>Safe to use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3"/>
      <c r="B20" s="3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3"/>
      <c r="B21" s="3"/>
      <c r="C21" s="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3"/>
      <c r="B22" s="3"/>
      <c r="C22" s="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3"/>
      <c r="B23" s="3"/>
      <c r="C23" s="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3"/>
      <c r="B24" s="3"/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3"/>
      <c r="B25" s="3"/>
      <c r="C25" s="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3"/>
      <c r="B26" s="3"/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3"/>
      <c r="B27" s="3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3"/>
      <c r="B28" s="3"/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3"/>
      <c r="B29" s="3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3"/>
      <c r="B30" s="3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</sheetData>
  <mergeCells count="3">
    <mergeCell ref="A1:C1"/>
    <mergeCell ref="A12:C12"/>
    <mergeCell ref="A16:C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5EFE-5A06-452A-A67D-00819F4A0C7F}">
  <dimension ref="A1:I4"/>
  <sheetViews>
    <sheetView workbookViewId="0">
      <selection sqref="A1:I4"/>
    </sheetView>
  </sheetViews>
  <sheetFormatPr defaultRowHeight="14.45"/>
  <sheetData>
    <row r="1" spans="1:9">
      <c r="A1" s="8" t="s">
        <v>29</v>
      </c>
      <c r="B1" s="9"/>
      <c r="C1" s="9"/>
      <c r="D1" s="9"/>
      <c r="E1" s="9"/>
      <c r="F1" s="9"/>
      <c r="G1" s="9"/>
      <c r="H1" s="9"/>
      <c r="I1" s="9"/>
    </row>
    <row r="2" spans="1:9">
      <c r="A2" s="9"/>
      <c r="B2" s="9"/>
      <c r="C2" s="9"/>
      <c r="D2" s="9"/>
      <c r="E2" s="9"/>
      <c r="F2" s="9"/>
      <c r="G2" s="9"/>
      <c r="H2" s="9"/>
      <c r="I2" s="9"/>
    </row>
    <row r="3" spans="1:9">
      <c r="A3" s="9"/>
      <c r="B3" s="9"/>
      <c r="C3" s="9"/>
      <c r="D3" s="9"/>
      <c r="E3" s="9"/>
      <c r="F3" s="9"/>
      <c r="G3" s="9"/>
      <c r="H3" s="9"/>
      <c r="I3" s="9"/>
    </row>
    <row r="4" spans="1:9">
      <c r="A4" s="9"/>
      <c r="B4" s="9"/>
      <c r="C4" s="9"/>
      <c r="D4" s="9"/>
      <c r="E4" s="9"/>
      <c r="F4" s="9"/>
      <c r="G4" s="9"/>
      <c r="H4" s="9"/>
      <c r="I4" s="9"/>
    </row>
  </sheetData>
  <mergeCells count="1">
    <mergeCell ref="A1:I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54337-B000-4386-BEB1-F39FE76192A5}">
  <dimension ref="A1:I4"/>
  <sheetViews>
    <sheetView topLeftCell="A19" workbookViewId="0">
      <selection activeCell="C48" sqref="C48"/>
    </sheetView>
  </sheetViews>
  <sheetFormatPr defaultRowHeight="14.45"/>
  <sheetData>
    <row r="1" spans="1:9">
      <c r="A1" s="8" t="s">
        <v>29</v>
      </c>
      <c r="B1" s="9"/>
      <c r="C1" s="9"/>
      <c r="D1" s="9"/>
      <c r="E1" s="9"/>
      <c r="F1" s="9"/>
      <c r="G1" s="9"/>
      <c r="H1" s="9"/>
      <c r="I1" s="9"/>
    </row>
    <row r="2" spans="1:9">
      <c r="A2" s="9"/>
      <c r="B2" s="9"/>
      <c r="C2" s="9"/>
      <c r="D2" s="9"/>
      <c r="E2" s="9"/>
      <c r="F2" s="9"/>
      <c r="G2" s="9"/>
      <c r="H2" s="9"/>
      <c r="I2" s="9"/>
    </row>
    <row r="3" spans="1:9">
      <c r="A3" s="9"/>
      <c r="B3" s="9"/>
      <c r="C3" s="9"/>
      <c r="D3" s="9"/>
      <c r="E3" s="9"/>
      <c r="F3" s="9"/>
      <c r="G3" s="9"/>
      <c r="H3" s="9"/>
      <c r="I3" s="9"/>
    </row>
    <row r="4" spans="1:9">
      <c r="A4" s="9"/>
      <c r="B4" s="9"/>
      <c r="C4" s="9"/>
      <c r="D4" s="9"/>
      <c r="E4" s="9"/>
      <c r="F4" s="9"/>
      <c r="G4" s="9"/>
      <c r="H4" s="9"/>
      <c r="I4" s="9"/>
    </row>
  </sheetData>
  <mergeCells count="1">
    <mergeCell ref="A1:I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C0BEB-291D-4660-BF2E-D6261138ABAD}">
  <dimension ref="A1:I4"/>
  <sheetViews>
    <sheetView topLeftCell="A13" zoomScale="70" zoomScaleNormal="70" workbookViewId="0">
      <selection activeCell="T38" sqref="T38"/>
    </sheetView>
  </sheetViews>
  <sheetFormatPr defaultRowHeight="14.45"/>
  <sheetData>
    <row r="1" spans="1:9">
      <c r="A1" s="8" t="s">
        <v>29</v>
      </c>
      <c r="B1" s="9"/>
      <c r="C1" s="9"/>
      <c r="D1" s="9"/>
      <c r="E1" s="9"/>
      <c r="F1" s="9"/>
      <c r="G1" s="9"/>
      <c r="H1" s="9"/>
      <c r="I1" s="9"/>
    </row>
    <row r="2" spans="1:9">
      <c r="A2" s="9"/>
      <c r="B2" s="9"/>
      <c r="C2" s="9"/>
      <c r="D2" s="9"/>
      <c r="E2" s="9"/>
      <c r="F2" s="9"/>
      <c r="G2" s="9"/>
      <c r="H2" s="9"/>
      <c r="I2" s="9"/>
    </row>
    <row r="3" spans="1:9">
      <c r="A3" s="9"/>
      <c r="B3" s="9"/>
      <c r="C3" s="9"/>
      <c r="D3" s="9"/>
      <c r="E3" s="9"/>
      <c r="F3" s="9"/>
      <c r="G3" s="9"/>
      <c r="H3" s="9"/>
      <c r="I3" s="9"/>
    </row>
    <row r="4" spans="1:9">
      <c r="A4" s="9"/>
      <c r="B4" s="9"/>
      <c r="C4" s="9"/>
      <c r="D4" s="9"/>
      <c r="E4" s="9"/>
      <c r="F4" s="9"/>
      <c r="G4" s="9"/>
      <c r="H4" s="9"/>
      <c r="I4" s="9"/>
    </row>
  </sheetData>
  <mergeCells count="1">
    <mergeCell ref="A1:I4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47AE4-08B1-4BA4-84F8-D7E97FB0A0DB}">
  <dimension ref="A1:N34"/>
  <sheetViews>
    <sheetView workbookViewId="0">
      <selection activeCell="B19" sqref="B19"/>
    </sheetView>
  </sheetViews>
  <sheetFormatPr defaultRowHeight="14.45"/>
  <cols>
    <col min="1" max="1" width="43.140625" customWidth="1"/>
    <col min="2" max="2" width="28" customWidth="1"/>
    <col min="3" max="3" width="50.28515625" customWidth="1"/>
  </cols>
  <sheetData>
    <row r="1" spans="1:14" ht="28.9">
      <c r="A1" s="6" t="s">
        <v>0</v>
      </c>
      <c r="B1" s="6"/>
      <c r="C1" s="6"/>
    </row>
    <row r="2" spans="1:14">
      <c r="A2" s="2" t="s">
        <v>1</v>
      </c>
      <c r="B2" s="2" t="s">
        <v>2</v>
      </c>
      <c r="C2" s="2" t="s">
        <v>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8.9">
      <c r="A3" s="4" t="s">
        <v>4</v>
      </c>
      <c r="B3" s="3">
        <v>2000</v>
      </c>
      <c r="C3" s="4" t="s">
        <v>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4" t="s">
        <v>6</v>
      </c>
      <c r="B4" s="3">
        <v>220</v>
      </c>
      <c r="C4" s="3" t="s">
        <v>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4" t="s">
        <v>8</v>
      </c>
      <c r="B5" s="3">
        <v>0.4</v>
      </c>
      <c r="C5" s="3" t="s">
        <v>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>
      <c r="A6" s="3" t="s">
        <v>10</v>
      </c>
      <c r="B6" s="3">
        <v>65</v>
      </c>
      <c r="C6" s="3" t="s">
        <v>11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28.9">
      <c r="A7" s="4" t="s">
        <v>12</v>
      </c>
      <c r="B7" s="3">
        <v>1200</v>
      </c>
      <c r="C7" s="4" t="s">
        <v>13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43.15">
      <c r="A8" s="4" t="s">
        <v>14</v>
      </c>
      <c r="B8" s="3">
        <v>1000</v>
      </c>
      <c r="C8" s="4" t="s">
        <v>15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57.6">
      <c r="A9" s="4" t="s">
        <v>16</v>
      </c>
      <c r="B9" s="3">
        <v>800</v>
      </c>
      <c r="C9" s="4" t="s">
        <v>17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5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28.9">
      <c r="A12" s="7" t="s">
        <v>18</v>
      </c>
      <c r="B12" s="7"/>
      <c r="C12" s="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28.9">
      <c r="A13" s="4" t="s">
        <v>19</v>
      </c>
      <c r="B13" s="3">
        <f>(B3+(B4*1.414))/2</f>
        <v>1155.54</v>
      </c>
      <c r="C13" s="3" t="s">
        <v>20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4" t="s">
        <v>21</v>
      </c>
      <c r="B14" s="3">
        <f>((B3+(B4*1.414)-B7)/2)</f>
        <v>555.54</v>
      </c>
      <c r="C14" s="3" t="s">
        <v>22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4" t="s">
        <v>23</v>
      </c>
      <c r="B15" s="3">
        <f>(B14*B8*16.928*10^-6)</f>
        <v>9.4041811200000005</v>
      </c>
      <c r="C15" s="3" t="s">
        <v>24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28.9">
      <c r="A16" s="7" t="s">
        <v>25</v>
      </c>
      <c r="B16" s="7"/>
      <c r="C16" s="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4" t="s">
        <v>26</v>
      </c>
      <c r="B17" s="3" t="str">
        <f>IF((B15/B5)&lt;60,"YES","NO")</f>
        <v>YES</v>
      </c>
      <c r="C17" s="3" t="str">
        <f>IF(B17="YES","Safe to use","Not safe to use")</f>
        <v>Safe to use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28.9">
      <c r="A18" s="4" t="s">
        <v>27</v>
      </c>
      <c r="B18" s="3" t="str">
        <f>IF((B15)&lt;B6,"YES","NO")</f>
        <v>YES</v>
      </c>
      <c r="C18" s="3" t="str">
        <f>IF(B18="YES","Safe to use","Not safe to use")</f>
        <v>Safe to use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28.9">
      <c r="A19" s="4" t="s">
        <v>28</v>
      </c>
      <c r="B19" s="3" t="str">
        <f>IF(B8&lt;B9,"YES","NO")</f>
        <v>NO</v>
      </c>
      <c r="C19" s="3" t="str">
        <f>IF(B19="YES","Safe to use","Not safe to use")</f>
        <v>Not safe to use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3"/>
      <c r="B20" s="3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3"/>
      <c r="B21" s="3"/>
      <c r="C21" s="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3"/>
      <c r="B22" s="3"/>
      <c r="C22" s="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3"/>
      <c r="B23" s="3"/>
      <c r="C23" s="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3"/>
      <c r="B24" s="3"/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3"/>
      <c r="B25" s="3"/>
      <c r="C25" s="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3"/>
      <c r="B26" s="3"/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3"/>
      <c r="B27" s="3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3"/>
      <c r="B28" s="3"/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3"/>
      <c r="B29" s="3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3"/>
      <c r="B30" s="3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</sheetData>
  <mergeCells count="3">
    <mergeCell ref="A1:C1"/>
    <mergeCell ref="A12:C12"/>
    <mergeCell ref="A16:C1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_x002d_ xmlns="38035219-bdf8-447b-a556-d44871d61ef0" xsi:nil="true"/>
    <lcf76f155ced4ddcb4097134ff3c332f xmlns="38035219-bdf8-447b-a556-d44871d61ef0">
      <Terms xmlns="http://schemas.microsoft.com/office/infopath/2007/PartnerControls"/>
    </lcf76f155ced4ddcb4097134ff3c332f>
    <TaxCatchAll xmlns="24ca615f-dd6c-4d23-91a9-a183b2584b25" xsi:nil="true"/>
    <DocumentNo_x002e_ xmlns="38035219-bdf8-447b-a556-d44871d61ef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43ADC96268654DA6519F19B164BD76" ma:contentTypeVersion="16" ma:contentTypeDescription="Create a new document." ma:contentTypeScope="" ma:versionID="ca456e0507897edfc307498708ff3ff0">
  <xsd:schema xmlns:xsd="http://www.w3.org/2001/XMLSchema" xmlns:xs="http://www.w3.org/2001/XMLSchema" xmlns:p="http://schemas.microsoft.com/office/2006/metadata/properties" xmlns:ns2="38035219-bdf8-447b-a556-d44871d61ef0" xmlns:ns3="24ca615f-dd6c-4d23-91a9-a183b2584b25" targetNamespace="http://schemas.microsoft.com/office/2006/metadata/properties" ma:root="true" ma:fieldsID="79b545b945b5fb3d9c9ed8c3759e1b92" ns2:_="" ns3:_="">
    <xsd:import namespace="38035219-bdf8-447b-a556-d44871d61ef0"/>
    <xsd:import namespace="24ca615f-dd6c-4d23-91a9-a183b2584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DocumentNo_x002e_" minOccurs="0"/>
                <xsd:element ref="ns2:Description_x002d_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035219-bdf8-447b-a556-d44871d61e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e8d1266-e8fc-4fdf-96d1-3011a3c59f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cumentNo_x002e_" ma:index="20" nillable="true" ma:displayName="Document No." ma:format="Dropdown" ma:internalName="DocumentNo_x002e_">
      <xsd:simpleType>
        <xsd:restriction base="dms:Text">
          <xsd:maxLength value="255"/>
        </xsd:restriction>
      </xsd:simpleType>
    </xsd:element>
    <xsd:element name="Description_x002d_" ma:index="21" nillable="true" ma:displayName="Doc. Description" ma:format="Dropdown" ma:internalName="Description_x002d_">
      <xsd:simpleType>
        <xsd:restriction base="dms:Text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ca615f-dd6c-4d23-91a9-a183b2584b2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7b9debb-8fa5-43a4-b209-b123d01618a5}" ma:internalName="TaxCatchAll" ma:showField="CatchAllData" ma:web="24ca615f-dd6c-4d23-91a9-a183b2584b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71B9A9-E5C0-425E-89B0-6DBAD15E2E8B}"/>
</file>

<file path=customXml/itemProps2.xml><?xml version="1.0" encoding="utf-8"?>
<ds:datastoreItem xmlns:ds="http://schemas.openxmlformats.org/officeDocument/2006/customXml" ds:itemID="{2A191770-5FFA-41DF-BC5F-5216C4090C99}"/>
</file>

<file path=customXml/itemProps3.xml><?xml version="1.0" encoding="utf-8"?>
<ds:datastoreItem xmlns:ds="http://schemas.openxmlformats.org/officeDocument/2006/customXml" ds:itemID="{76440BB5-03AF-4447-B29E-DB99C73864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Abdallah Ebraheem Abdelmotalb Keshk</dc:creator>
  <cp:keywords/>
  <dc:description/>
  <cp:lastModifiedBy>Mostafa Mohamed Abdelhafiz</cp:lastModifiedBy>
  <cp:revision/>
  <dcterms:created xsi:type="dcterms:W3CDTF">2015-06-05T18:17:20Z</dcterms:created>
  <dcterms:modified xsi:type="dcterms:W3CDTF">2026-01-13T14:15:27Z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0x010100EB43ADC96268654DA6519F19B164BD76</vt:lpwstr>
  </property>
  <property fmtid="{D5CDD505-2E9C-101B-9397-08002B2CF9AE}" pid="3" name="MediaServiceImageTags">
    <vt:lpwstr/>
  </property>
</Properties>
</file>