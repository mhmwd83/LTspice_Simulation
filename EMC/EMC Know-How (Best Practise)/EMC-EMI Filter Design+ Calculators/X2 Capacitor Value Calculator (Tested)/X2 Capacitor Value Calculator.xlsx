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gamal15\Downloads\EMC Know-How (Best Practise)\EMC-EMI Filter Design+ Calculators\X2 Capacitor Value Calculator (Tested)\"/>
    </mc:Choice>
  </mc:AlternateContent>
  <xr:revisionPtr revIDLastSave="0" documentId="13_ncr:1_{399B3FC8-B46C-4795-B202-6082DFD83361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inputs" sheetId="7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7" l="1"/>
  <c r="B19" i="7" s="1"/>
  <c r="B13" i="7"/>
  <c r="B14" i="7" s="1"/>
</calcChain>
</file>

<file path=xl/sharedStrings.xml><?xml version="1.0" encoding="utf-8"?>
<sst xmlns="http://schemas.openxmlformats.org/spreadsheetml/2006/main" count="23" uniqueCount="20">
  <si>
    <t>INPUTS</t>
  </si>
  <si>
    <t>Input Parameters</t>
  </si>
  <si>
    <t>Value</t>
  </si>
  <si>
    <t>Note</t>
  </si>
  <si>
    <t xml:space="preserve">pass is </t>
  </si>
  <si>
    <t>Required Attenuation</t>
  </si>
  <si>
    <t>The required attenuation for the Differntial mode noise</t>
  </si>
  <si>
    <t>Leackage inductance of the Common choke</t>
  </si>
  <si>
    <t>Leackage inductance of the Common choke in µH</t>
  </si>
  <si>
    <t>Switching frequency</t>
  </si>
  <si>
    <t>Switching Frequeny of the SMPS IC IN KHZ</t>
  </si>
  <si>
    <t>Automatic Equations calaculation</t>
  </si>
  <si>
    <t>Corner frequency</t>
  </si>
  <si>
    <t>in KHZ (Automated)</t>
  </si>
  <si>
    <t>X2 Capacitor value</t>
  </si>
  <si>
    <t>In µF</t>
  </si>
  <si>
    <t>Automatic attenuation calaculation for selected X2 Capacitor</t>
  </si>
  <si>
    <t>Selected X2 Capacitor value</t>
  </si>
  <si>
    <t>attenuation atchived</t>
  </si>
  <si>
    <t>in dB (Automated)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</si>
</sst>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857F-2813-4E3E-835E-30F30F86276D}">
  <dimension ref="A1:N19"/>
  <sheetViews>
    <sheetView tabSelected="1" workbookViewId="0">
      <selection activeCell="B5" sqref="B5"/>
    </sheetView>
  </sheetViews>
  <sheetFormatPr defaultColWidth="8.88671875" defaultRowHeight="14.4" x14ac:dyDescent="0.3"/>
  <cols>
    <col min="1" max="1" width="43.109375" style="3" customWidth="1"/>
    <col min="2" max="2" width="28" style="3" customWidth="1"/>
    <col min="3" max="3" width="50.33203125" style="3" bestFit="1" customWidth="1"/>
    <col min="4" max="16384" width="8.88671875" style="3"/>
  </cols>
  <sheetData>
    <row r="1" spans="1:14" ht="28.8" x14ac:dyDescent="0.55000000000000004">
      <c r="A1" s="10" t="s">
        <v>0</v>
      </c>
      <c r="B1" s="10"/>
      <c r="C1" s="10"/>
    </row>
    <row r="2" spans="1:14" x14ac:dyDescent="0.3">
      <c r="A2" s="4" t="s">
        <v>1</v>
      </c>
      <c r="B2" s="4" t="s">
        <v>2</v>
      </c>
      <c r="C2" s="4" t="s">
        <v>3</v>
      </c>
      <c r="D2" s="5"/>
      <c r="E2" s="5"/>
      <c r="F2" s="5"/>
      <c r="G2" s="5" t="s">
        <v>4</v>
      </c>
      <c r="H2" s="5">
        <v>1</v>
      </c>
      <c r="I2" s="5"/>
      <c r="J2" s="5"/>
      <c r="K2" s="5"/>
      <c r="L2" s="5"/>
      <c r="M2" s="5"/>
      <c r="N2" s="5"/>
    </row>
    <row r="3" spans="1:14" x14ac:dyDescent="0.3">
      <c r="A3" s="6" t="s">
        <v>5</v>
      </c>
      <c r="B3" s="7">
        <v>44</v>
      </c>
      <c r="C3" s="6" t="s">
        <v>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3">
      <c r="A4" s="6" t="s">
        <v>7</v>
      </c>
      <c r="B4" s="7">
        <v>200</v>
      </c>
      <c r="C4" s="7" t="s">
        <v>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3">
      <c r="A5" s="6" t="s">
        <v>9</v>
      </c>
      <c r="B5" s="7">
        <v>100</v>
      </c>
      <c r="C5" s="7" t="s">
        <v>10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3">
      <c r="A6" s="7"/>
      <c r="B6" s="7"/>
      <c r="C6" s="7"/>
      <c r="D6" s="5"/>
      <c r="E6" s="5"/>
      <c r="F6" s="5"/>
      <c r="I6" s="5"/>
      <c r="J6" s="5"/>
      <c r="K6" s="5"/>
      <c r="L6" s="5"/>
      <c r="M6" s="5"/>
      <c r="N6" s="5"/>
    </row>
    <row r="7" spans="1:14" x14ac:dyDescent="0.3">
      <c r="A7" s="6"/>
      <c r="B7" s="7"/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3">
      <c r="A8" s="6"/>
      <c r="B8" s="7"/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3">
      <c r="A9" s="6"/>
      <c r="B9" s="7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3">
      <c r="A10" s="8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">
      <c r="A11" s="8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28.8" x14ac:dyDescent="0.3">
      <c r="A12" s="11" t="s">
        <v>11</v>
      </c>
      <c r="B12" s="11"/>
      <c r="C12" s="1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">
      <c r="A13" s="6" t="s">
        <v>12</v>
      </c>
      <c r="B13" s="9">
        <f>B5*1000/(10^(B3/40))/1000</f>
        <v>7.9432823472428096</v>
      </c>
      <c r="C13" s="7" t="s">
        <v>13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">
      <c r="A14" s="6" t="s">
        <v>14</v>
      </c>
      <c r="B14" s="2">
        <f>1/( (2 * PI() * B13*1000)^2 * (B4 * 10^-6) )* 10^6</f>
        <v>2.0072906775855461</v>
      </c>
      <c r="C14" s="7" t="s">
        <v>15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28.8" x14ac:dyDescent="0.3">
      <c r="A16" s="11" t="s">
        <v>16</v>
      </c>
      <c r="B16" s="11"/>
      <c r="C16" s="1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3">
      <c r="A17" s="6" t="s">
        <v>17</v>
      </c>
      <c r="B17" s="5"/>
      <c r="C17" s="6" t="s">
        <v>15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">
      <c r="A18" s="6" t="s">
        <v>12</v>
      </c>
      <c r="B18" s="2" t="e">
        <f>(1/(2*PI()*(SQRT(B17*B4*10^-6))))</f>
        <v>#DIV/0!</v>
      </c>
      <c r="C18" s="7" t="s">
        <v>13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3">
      <c r="A19" s="6" t="s">
        <v>18</v>
      </c>
      <c r="B19" s="1" t="e">
        <f>40*LOG(B18/B5)*-1</f>
        <v>#DIV/0!</v>
      </c>
      <c r="C19" s="6" t="s">
        <v>19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</sheetData>
  <sheetProtection sheet="1" objects="1" scenarios="1" selectLockedCells="1"/>
  <mergeCells count="3">
    <mergeCell ref="A1:C1"/>
    <mergeCell ref="A12:C12"/>
    <mergeCell ref="A16:C1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_x002d_ xmlns="38035219-bdf8-447b-a556-d44871d61ef0" xsi:nil="true"/>
    <lcf76f155ced4ddcb4097134ff3c332f xmlns="38035219-bdf8-447b-a556-d44871d61ef0">
      <Terms xmlns="http://schemas.microsoft.com/office/infopath/2007/PartnerControls"/>
    </lcf76f155ced4ddcb4097134ff3c332f>
    <TaxCatchAll xmlns="24ca615f-dd6c-4d23-91a9-a183b2584b25" xsi:nil="true"/>
    <DocumentNo_x002e_ xmlns="38035219-bdf8-447b-a556-d44871d61e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43ADC96268654DA6519F19B164BD76" ma:contentTypeVersion="16" ma:contentTypeDescription="Create a new document." ma:contentTypeScope="" ma:versionID="9f2f9fbe9b275a50463ca89e57b31a73">
  <xsd:schema xmlns:xsd="http://www.w3.org/2001/XMLSchema" xmlns:xs="http://www.w3.org/2001/XMLSchema" xmlns:p="http://schemas.microsoft.com/office/2006/metadata/properties" xmlns:ns2="38035219-bdf8-447b-a556-d44871d61ef0" xmlns:ns3="24ca615f-dd6c-4d23-91a9-a183b2584b25" targetNamespace="http://schemas.microsoft.com/office/2006/metadata/properties" ma:root="true" ma:fieldsID="85649dce696bd7f1f98110226af992ea" ns2:_="" ns3:_="">
    <xsd:import namespace="38035219-bdf8-447b-a556-d44871d61ef0"/>
    <xsd:import namespace="24ca615f-dd6c-4d23-91a9-a183b2584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DocumentNo_x002e_" minOccurs="0"/>
                <xsd:element ref="ns2:Description_x002d_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35219-bdf8-447b-a556-d44871d61e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e8d1266-e8fc-4fdf-96d1-3011a3c59f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cumentNo_x002e_" ma:index="20" nillable="true" ma:displayName="Document No." ma:format="Dropdown" ma:internalName="DocumentNo_x002e_">
      <xsd:simpleType>
        <xsd:restriction base="dms:Text">
          <xsd:maxLength value="255"/>
        </xsd:restriction>
      </xsd:simpleType>
    </xsd:element>
    <xsd:element name="Description_x002d_" ma:index="21" nillable="true" ma:displayName="Doc. Description" ma:format="Dropdown" ma:internalName="Description_x002d_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ca615f-dd6c-4d23-91a9-a183b2584b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7b9debb-8fa5-43a4-b209-b123d01618a5}" ma:internalName="TaxCatchAll" ma:showField="CatchAllData" ma:web="24ca615f-dd6c-4d23-91a9-a183b2584b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9B0929-B441-4834-82D1-CBD2B9171EE7}">
  <ds:schemaRefs>
    <ds:schemaRef ds:uri="http://schemas.microsoft.com/office/2006/metadata/properties"/>
    <ds:schemaRef ds:uri="http://schemas.microsoft.com/office/infopath/2007/PartnerControls"/>
    <ds:schemaRef ds:uri="38035219-bdf8-447b-a556-d44871d61ef0"/>
    <ds:schemaRef ds:uri="24ca615f-dd6c-4d23-91a9-a183b2584b25"/>
  </ds:schemaRefs>
</ds:datastoreItem>
</file>

<file path=customXml/itemProps2.xml><?xml version="1.0" encoding="utf-8"?>
<ds:datastoreItem xmlns:ds="http://schemas.openxmlformats.org/officeDocument/2006/customXml" ds:itemID="{5678E01F-79A3-46CD-8CD3-B89B1425A0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035219-bdf8-447b-a556-d44871d61ef0"/>
    <ds:schemaRef ds:uri="24ca615f-dd6c-4d23-91a9-a183b2584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F9BD3F-54BC-4B55-9E45-A636C21272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Abdallah Ebraheem Abdelmotalb Keshk</dc:creator>
  <cp:keywords/>
  <dc:description/>
  <cp:lastModifiedBy>Mahmoud Gamal Mahmoud</cp:lastModifiedBy>
  <cp:revision/>
  <dcterms:created xsi:type="dcterms:W3CDTF">2015-06-05T18:17:20Z</dcterms:created>
  <dcterms:modified xsi:type="dcterms:W3CDTF">2026-02-23T08:03:43Z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0x010100EB43ADC96268654DA6519F19B164BD76</vt:lpwstr>
  </property>
  <property fmtid="{D5CDD505-2E9C-101B-9397-08002B2CF9AE}" pid="3" name="MediaServiceImageTags">
    <vt:lpwstr/>
  </property>
</Properties>
</file>