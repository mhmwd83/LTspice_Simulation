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D:\document\Calculators\"/>
    </mc:Choice>
  </mc:AlternateContent>
  <xr:revisionPtr revIDLastSave="0" documentId="13_ncr:1_{FD3152E9-3986-4431-8447-9900E435F72B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EMI FILTER DESIGN CALCULATOR" sheetId="3" r:id="rId1"/>
    <sheet name="EMI FILTER DESIGN CALCULATO (2)" sheetId="5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3" l="1"/>
  <c r="B19" i="3"/>
  <c r="B15" i="5"/>
  <c r="B16" i="5" s="1"/>
  <c r="B14" i="5"/>
  <c r="D14" i="5" s="1"/>
  <c r="C27" i="3" l="1"/>
  <c r="B27" i="3"/>
  <c r="C19" i="5"/>
  <c r="B21" i="3"/>
  <c r="B22" i="3" s="1"/>
  <c r="C25" i="3" l="1"/>
  <c r="B10" i="5" l="1"/>
  <c r="B21" i="5" s="1"/>
  <c r="C21" i="5"/>
  <c r="A21" i="5"/>
  <c r="B13" i="5" l="1"/>
  <c r="B5" i="3"/>
  <c r="B11" i="5" l="1"/>
  <c r="B12" i="5" s="1"/>
  <c r="B22" i="5"/>
  <c r="D22" i="5" s="1"/>
  <c r="A27" i="3"/>
  <c r="B14" i="3"/>
  <c r="B13" i="3"/>
  <c r="B15" i="3" l="1"/>
  <c r="B16" i="3" s="1"/>
  <c r="B28" i="3" l="1"/>
  <c r="D28" i="3" s="1"/>
  <c r="B17" i="3"/>
  <c r="B20" i="3" l="1"/>
  <c r="D20" i="3" s="1"/>
  <c r="B29" i="3"/>
  <c r="D29" i="3" s="1"/>
</calcChain>
</file>

<file path=xl/sharedStrings.xml><?xml version="1.0" encoding="utf-8"?>
<sst xmlns="http://schemas.openxmlformats.org/spreadsheetml/2006/main" count="113" uniqueCount="63">
  <si>
    <t>EMI FILTER DESIGN CALCULATOR</t>
  </si>
  <si>
    <t>INPUT PARAMETERS</t>
  </si>
  <si>
    <t>VALUE</t>
  </si>
  <si>
    <t>UNIT</t>
  </si>
  <si>
    <t>NOTES</t>
  </si>
  <si>
    <t>AC Input Voltage (Vrms)</t>
  </si>
  <si>
    <t>Bulk Cap Voltage (VP)</t>
  </si>
  <si>
    <t>Switching Freq (F0)</t>
  </si>
  <si>
    <t>Parasitic Cap (CP)</t>
  </si>
  <si>
    <t>Standard Limit</t>
  </si>
  <si>
    <t>V</t>
  </si>
  <si>
    <t>HZ</t>
  </si>
  <si>
    <t>PF</t>
  </si>
  <si>
    <t>dBμV</t>
  </si>
  <si>
    <t>CALCULATED VALUES</t>
  </si>
  <si>
    <t>Common Mode Noise</t>
  </si>
  <si>
    <t>mV</t>
  </si>
  <si>
    <t>Limit Voltage</t>
  </si>
  <si>
    <t>μV</t>
  </si>
  <si>
    <t>Attenuation (dB)</t>
  </si>
  <si>
    <t>dB</t>
  </si>
  <si>
    <t>Corner Freq (Fc)</t>
  </si>
  <si>
    <t>Hz</t>
  </si>
  <si>
    <t>Choke Inductance</t>
  </si>
  <si>
    <t>Y Capacitance</t>
  </si>
  <si>
    <t>mH</t>
  </si>
  <si>
    <t>Input voltage</t>
  </si>
  <si>
    <t>switching frequnecy of the power ic</t>
  </si>
  <si>
    <t>AUTO-CALCULATED COMPLEMENTARY VALUE</t>
  </si>
  <si>
    <t xml:space="preserve">Choose Component to Fix: </t>
  </si>
  <si>
    <t>nF</t>
  </si>
  <si>
    <t>Lowest db in the standard Curve Class B</t>
  </si>
  <si>
    <t>Common mode noise voltage</t>
  </si>
  <si>
    <t>Maximum noise voltage before failing according to standard Curve Class B</t>
  </si>
  <si>
    <t>Required attenuation</t>
  </si>
  <si>
    <t>Corner frequncey of the filter</t>
  </si>
  <si>
    <t>the common choke coil value</t>
  </si>
  <si>
    <t>the Y capacitor  value</t>
  </si>
  <si>
    <t>a value of rule of thumb between 50 pf to 500 pf</t>
  </si>
  <si>
    <t>Type (Y Capacitor OR Choke)</t>
  </si>
  <si>
    <t>Bulk capacitor voltage</t>
  </si>
  <si>
    <t xml:space="preserve"> Fixed Value</t>
  </si>
  <si>
    <t>FIXED COMPONENT SELECTION</t>
  </si>
  <si>
    <t>ENTER THE VALUE OF Y CAPACITOR OR COMMON CHOKE COIL YOU WANT TO FIX</t>
  </si>
  <si>
    <t>Actual Corner Freq (Fc):</t>
  </si>
  <si>
    <t>Y Capacitor</t>
  </si>
  <si>
    <t>Choke</t>
  </si>
  <si>
    <t>EMI FILTER DESIGN CALCULATOR IF You know the required Attenuation (dB)</t>
  </si>
  <si>
    <t>ζ</t>
  </si>
  <si>
    <t>Leakage indctance of the common mode choke</t>
  </si>
  <si>
    <t>µH</t>
  </si>
  <si>
    <t>the X2  capacitor  value</t>
  </si>
  <si>
    <t>µF</t>
  </si>
  <si>
    <t xml:space="preserve">Leakage indctance of the common mode choke that is used used to calaculate the X2 capacitor value </t>
  </si>
  <si>
    <t>X Capacitor</t>
  </si>
  <si>
    <t>FIXED IF YOU DON’T KNOW IT</t>
  </si>
  <si>
    <t>mA</t>
  </si>
  <si>
    <t>I Leakage</t>
  </si>
  <si>
    <t>Minimum R discharging</t>
  </si>
  <si>
    <t>ohm</t>
  </si>
  <si>
    <t>W</t>
  </si>
  <si>
    <t>Minimum R discharging power disspation</t>
  </si>
  <si>
    <t>Leakage indctance of the common mode choke that will be used to calaculate the X2 capacitor value  (Need to be measured)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</si>
</sst>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6" x14ac:knownFonts="1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" fontId="0" fillId="0" borderId="1" xfId="0" applyNumberFormat="1" applyBorder="1" applyAlignment="1" applyProtection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Fill="1"/>
    <xf numFmtId="0" fontId="4" fillId="0" borderId="0" xfId="0" applyFont="1" applyFill="1"/>
    <xf numFmtId="0" fontId="4" fillId="0" borderId="0" xfId="0" applyFont="1"/>
    <xf numFmtId="165" fontId="0" fillId="0" borderId="1" xfId="0" applyNumberFormat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166" fontId="0" fillId="0" borderId="1" xfId="0" applyNumberFormat="1" applyBorder="1" applyAlignment="1" applyProtection="1">
      <alignment horizontal="center" vertical="center"/>
    </xf>
    <xf numFmtId="1" fontId="0" fillId="0" borderId="1" xfId="0" applyNumberFormat="1" applyBorder="1" applyAlignment="1" applyProtection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22861</xdr:colOff>
      <xdr:row>0</xdr:row>
      <xdr:rowOff>0</xdr:rowOff>
    </xdr:from>
    <xdr:to>
      <xdr:col>13</xdr:col>
      <xdr:colOff>338825</xdr:colOff>
      <xdr:row>14</xdr:row>
      <xdr:rowOff>22860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D45C2A-3EE9-4036-A706-6ACE47D2B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68741" y="0"/>
          <a:ext cx="5802364" cy="31318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22861</xdr:colOff>
      <xdr:row>0</xdr:row>
      <xdr:rowOff>0</xdr:rowOff>
    </xdr:from>
    <xdr:to>
      <xdr:col>13</xdr:col>
      <xdr:colOff>338825</xdr:colOff>
      <xdr:row>13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A1EC7D-F8BC-4B7A-89D0-59FF29A09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68741" y="0"/>
          <a:ext cx="5802364" cy="31318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6566D-E52E-4CC9-8273-10D095051B54}">
  <dimension ref="A1:H29"/>
  <sheetViews>
    <sheetView tabSelected="1" workbookViewId="0">
      <selection activeCell="B17" sqref="B17"/>
    </sheetView>
  </sheetViews>
  <sheetFormatPr defaultRowHeight="14.4" x14ac:dyDescent="0.3"/>
  <cols>
    <col min="1" max="1" width="40.88671875" bestFit="1" customWidth="1"/>
    <col min="2" max="2" width="40.5546875" bestFit="1" customWidth="1"/>
    <col min="4" max="4" width="40.109375" bestFit="1" customWidth="1"/>
  </cols>
  <sheetData>
    <row r="1" spans="1:8" x14ac:dyDescent="0.3">
      <c r="A1" s="17" t="s">
        <v>0</v>
      </c>
      <c r="B1" s="17"/>
      <c r="C1" s="17"/>
      <c r="D1" s="17"/>
      <c r="E1" s="1"/>
      <c r="F1" s="1"/>
      <c r="G1" s="1"/>
      <c r="H1" s="1"/>
    </row>
    <row r="2" spans="1:8" x14ac:dyDescent="0.3">
      <c r="A2" s="17"/>
      <c r="B2" s="17"/>
      <c r="C2" s="17"/>
      <c r="D2" s="17"/>
      <c r="E2" s="1"/>
      <c r="F2" s="1"/>
      <c r="G2" s="1"/>
      <c r="H2" s="1"/>
    </row>
    <row r="3" spans="1:8" x14ac:dyDescent="0.3">
      <c r="A3" s="4" t="s">
        <v>1</v>
      </c>
      <c r="B3" s="3" t="s">
        <v>2</v>
      </c>
      <c r="C3" s="3" t="s">
        <v>3</v>
      </c>
      <c r="D3" s="3" t="s">
        <v>4</v>
      </c>
    </row>
    <row r="4" spans="1:8" x14ac:dyDescent="0.3">
      <c r="A4" s="3" t="s">
        <v>5</v>
      </c>
      <c r="B4" s="3">
        <v>220</v>
      </c>
      <c r="C4" s="3" t="s">
        <v>10</v>
      </c>
      <c r="D4" s="3" t="s">
        <v>26</v>
      </c>
    </row>
    <row r="5" spans="1:8" x14ac:dyDescent="0.3">
      <c r="A5" s="3" t="s">
        <v>6</v>
      </c>
      <c r="B5" s="3">
        <f>B4*SQRT(2)</f>
        <v>311.12698372208092</v>
      </c>
      <c r="C5" s="3" t="s">
        <v>10</v>
      </c>
      <c r="D5" s="3" t="s">
        <v>40</v>
      </c>
    </row>
    <row r="6" spans="1:8" x14ac:dyDescent="0.3">
      <c r="A6" s="3" t="s">
        <v>7</v>
      </c>
      <c r="B6" s="3">
        <v>66000</v>
      </c>
      <c r="C6" s="3" t="s">
        <v>11</v>
      </c>
      <c r="D6" s="3" t="s">
        <v>27</v>
      </c>
    </row>
    <row r="7" spans="1:8" x14ac:dyDescent="0.3">
      <c r="A7" s="3" t="s">
        <v>8</v>
      </c>
      <c r="B7" s="3">
        <v>200</v>
      </c>
      <c r="C7" s="3" t="s">
        <v>12</v>
      </c>
      <c r="D7" s="3" t="s">
        <v>38</v>
      </c>
    </row>
    <row r="8" spans="1:8" x14ac:dyDescent="0.3">
      <c r="A8" s="3" t="s">
        <v>9</v>
      </c>
      <c r="B8" s="3">
        <v>46</v>
      </c>
      <c r="C8" s="3" t="s">
        <v>13</v>
      </c>
      <c r="D8" s="3" t="s">
        <v>31</v>
      </c>
    </row>
    <row r="9" spans="1:8" ht="43.2" x14ac:dyDescent="0.3">
      <c r="A9" s="3" t="s">
        <v>49</v>
      </c>
      <c r="B9" s="3">
        <v>14.6</v>
      </c>
      <c r="C9" s="3" t="s">
        <v>50</v>
      </c>
      <c r="D9" s="2" t="s">
        <v>62</v>
      </c>
    </row>
    <row r="10" spans="1:8" x14ac:dyDescent="0.3">
      <c r="A10" s="13"/>
      <c r="B10" s="13"/>
      <c r="C10" s="13"/>
      <c r="D10" s="14"/>
    </row>
    <row r="12" spans="1:8" x14ac:dyDescent="0.3">
      <c r="A12" s="4" t="s">
        <v>14</v>
      </c>
      <c r="B12" s="3"/>
      <c r="C12" s="3"/>
      <c r="D12" s="3"/>
    </row>
    <row r="13" spans="1:8" x14ac:dyDescent="0.3">
      <c r="A13" s="3" t="s">
        <v>15</v>
      </c>
      <c r="B13" s="5">
        <f>100*B5*B6*B7*0.000000000001*1000</f>
        <v>410.68761851314679</v>
      </c>
      <c r="C13" s="3" t="s">
        <v>16</v>
      </c>
      <c r="D13" s="3" t="s">
        <v>32</v>
      </c>
    </row>
    <row r="14" spans="1:8" ht="28.8" x14ac:dyDescent="0.3">
      <c r="A14" s="3" t="s">
        <v>17</v>
      </c>
      <c r="B14" s="5">
        <f>10^((B8-120)/20)*1000000</f>
        <v>199.52623149688759</v>
      </c>
      <c r="C14" s="3" t="s">
        <v>18</v>
      </c>
      <c r="D14" s="2" t="s">
        <v>33</v>
      </c>
    </row>
    <row r="15" spans="1:8" x14ac:dyDescent="0.3">
      <c r="A15" s="3" t="s">
        <v>19</v>
      </c>
      <c r="B15" s="5">
        <f>20*LOG((B13*1000)/B14)</f>
        <v>66.270232197200954</v>
      </c>
      <c r="C15" s="3" t="s">
        <v>20</v>
      </c>
      <c r="D15" s="3" t="s">
        <v>34</v>
      </c>
    </row>
    <row r="16" spans="1:8" x14ac:dyDescent="0.3">
      <c r="A16" s="3" t="s">
        <v>21</v>
      </c>
      <c r="B16" s="5">
        <f>B6/(10^(B15/40))</f>
        <v>1454.7492119745889</v>
      </c>
      <c r="C16" s="3" t="s">
        <v>22</v>
      </c>
      <c r="D16" s="3" t="s">
        <v>35</v>
      </c>
    </row>
    <row r="17" spans="1:8" x14ac:dyDescent="0.3">
      <c r="A17" s="3" t="s">
        <v>23</v>
      </c>
      <c r="B17" s="5">
        <f>(2*0.707*50)/(2*PI()*B16)*1000</f>
        <v>7.7348414310696691</v>
      </c>
      <c r="C17" s="3" t="s">
        <v>25</v>
      </c>
      <c r="D17" s="3" t="s">
        <v>36</v>
      </c>
    </row>
    <row r="18" spans="1:8" x14ac:dyDescent="0.3">
      <c r="A18" s="3" t="s">
        <v>24</v>
      </c>
      <c r="B18" s="5">
        <f>1/(B17*(2*PI()*B16)^2)*10^9</f>
        <v>1.5474356117686878</v>
      </c>
      <c r="C18" s="3" t="s">
        <v>30</v>
      </c>
      <c r="D18" s="3" t="s">
        <v>37</v>
      </c>
    </row>
    <row r="19" spans="1:8" x14ac:dyDescent="0.3">
      <c r="A19" s="3" t="s">
        <v>54</v>
      </c>
      <c r="B19" s="5">
        <f>1/( (2 * PI() * B16)^2 * (B9 * 10^-6) )* 10^6</f>
        <v>819.80610149459494</v>
      </c>
      <c r="C19" s="3" t="s">
        <v>52</v>
      </c>
      <c r="D19" s="3" t="s">
        <v>51</v>
      </c>
    </row>
    <row r="20" spans="1:8" ht="13.8" customHeight="1" x14ac:dyDescent="0.3">
      <c r="A20" s="3" t="s">
        <v>57</v>
      </c>
      <c r="B20" s="5">
        <f xml:space="preserve"> (B4 * 1.1) * 2 * PI() * 50 * ( (B18 * 10^-9) + ( (B19 * 10^-6 * B18 * 10^-9) / ( (B19 * 10^-6) + (B18 * 10^-9) ) ) ) * 1000</f>
        <v>0.23529213566790208</v>
      </c>
      <c r="C20" s="3" t="s">
        <v>56</v>
      </c>
      <c r="D20" s="3" t="str">
        <f>IF(B20&lt;3.5, "✔ will pass Leakage test", "❌ Check values")</f>
        <v>✔ will pass Leakage test</v>
      </c>
    </row>
    <row r="21" spans="1:8" ht="13.8" customHeight="1" x14ac:dyDescent="0.3">
      <c r="A21" s="3" t="s">
        <v>58</v>
      </c>
      <c r="B21" s="5">
        <f>-1/(LN(60/(B4*1.1))* (B19*0.000001 + (1 / (1/(B18*0.000000001) + 1/(B18*0.000000001)))))</f>
        <v>874.66331503839808</v>
      </c>
      <c r="C21" s="3" t="s">
        <v>59</v>
      </c>
      <c r="D21" s="3"/>
    </row>
    <row r="22" spans="1:8" ht="13.8" customHeight="1" x14ac:dyDescent="0.3">
      <c r="A22" s="3" t="s">
        <v>61</v>
      </c>
      <c r="B22" s="5">
        <f>((B4*B4*1.1)/B21)</f>
        <v>60.869135682983057</v>
      </c>
      <c r="C22" s="3" t="s">
        <v>60</v>
      </c>
      <c r="D22" s="3"/>
    </row>
    <row r="23" spans="1:8" x14ac:dyDescent="0.3">
      <c r="A23" s="4" t="s">
        <v>42</v>
      </c>
      <c r="B23" s="3"/>
      <c r="C23" s="3"/>
      <c r="D23" s="3"/>
      <c r="H23" s="8"/>
    </row>
    <row r="24" spans="1:8" x14ac:dyDescent="0.3">
      <c r="A24" s="3" t="s">
        <v>29</v>
      </c>
      <c r="B24" s="3" t="s">
        <v>46</v>
      </c>
      <c r="C24" s="3"/>
      <c r="D24" s="3" t="s">
        <v>39</v>
      </c>
      <c r="H24" s="9"/>
    </row>
    <row r="25" spans="1:8" ht="28.8" x14ac:dyDescent="0.3">
      <c r="A25" s="3" t="s">
        <v>41</v>
      </c>
      <c r="B25" s="3">
        <v>33</v>
      </c>
      <c r="C25" s="3" t="str">
        <f>IF(B24="Y Capacitor", "nF", "mH")</f>
        <v>mH</v>
      </c>
      <c r="D25" s="7" t="s">
        <v>43</v>
      </c>
      <c r="H25" s="10"/>
    </row>
    <row r="26" spans="1:8" x14ac:dyDescent="0.3">
      <c r="A26" s="3" t="s">
        <v>28</v>
      </c>
      <c r="B26" s="3"/>
      <c r="C26" s="3"/>
      <c r="D26" s="3"/>
      <c r="H26" s="10" t="s">
        <v>45</v>
      </c>
    </row>
    <row r="27" spans="1:8" x14ac:dyDescent="0.3">
      <c r="A27" s="3" t="str">
        <f>IF(B24="Y Capacitor",  "Required Choke (L):", "Required Y-Cap (Cy):")</f>
        <v>Required Y-Cap (Cy):</v>
      </c>
      <c r="B27" s="5">
        <f>IF(B24="Y Capacitor",1/((B25*10^-9)*(2*PI()*B16)^2),(1/(B25*10^-3))/((2*PI()*B16)^2)*10^9)</f>
        <v>362.70209338851771</v>
      </c>
      <c r="C27" s="3" t="str">
        <f>IF(B24="Y Capacitor", "mH", "pF")</f>
        <v>pF</v>
      </c>
      <c r="D27" s="3"/>
      <c r="H27" s="10" t="s">
        <v>46</v>
      </c>
    </row>
    <row r="28" spans="1:8" x14ac:dyDescent="0.3">
      <c r="A28" s="3" t="s">
        <v>44</v>
      </c>
      <c r="B28" s="5">
        <f>1/(2*PI()*SQRT(IF(B24="Y Capacitor", B27, B25*10^-3) * IF(B24="Y Capacitor", B25*10^-9, B27*10^-9)))</f>
        <v>1454.7492119745887</v>
      </c>
      <c r="C28" s="3" t="s">
        <v>22</v>
      </c>
      <c r="D28" s="3" t="str">
        <f>IF(ABS(B28-B16)/B16&lt;0.05, "✔ Attenuation MATCHED", "❌ Check values")</f>
        <v>✔ Attenuation MATCHED</v>
      </c>
      <c r="H28" s="10"/>
    </row>
    <row r="29" spans="1:8" x14ac:dyDescent="0.3">
      <c r="A29" s="3" t="s">
        <v>57</v>
      </c>
      <c r="B29" s="5">
        <f>IF(B24="Y Capacitor",
B4*2*PI()*50*(B25/10^9+(B19/10^6*B25/10^9)/(B19/10^6+B25/10^9))*1000,
B4*2*PI()*50*(B27/10^12+(B19/10^6*B27/10^12)/(B19/10^6+B27/10^12)*1000
))</f>
        <v>2.5093226183026004E-2</v>
      </c>
      <c r="C29" s="3" t="s">
        <v>56</v>
      </c>
      <c r="D29" s="3" t="str">
        <f>IF(B29&lt;3.5, "✔ will pass Leakage test", "❌ Check values")</f>
        <v>✔ will pass Leakage test</v>
      </c>
    </row>
  </sheetData>
  <mergeCells count="1">
    <mergeCell ref="A1:D2"/>
  </mergeCells>
  <dataValidations count="1">
    <dataValidation type="list" allowBlank="1" showInputMessage="1" showErrorMessage="1" sqref="B24" xr:uid="{8EA13475-D9A9-4AA0-A21E-B50FF81E25E4}">
      <formula1>$H$26:$H$27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EA2FB-9873-424D-A2E7-2F6A67D21B58}">
  <dimension ref="A1:H22"/>
  <sheetViews>
    <sheetView workbookViewId="0">
      <selection activeCell="B20" sqref="B20"/>
    </sheetView>
  </sheetViews>
  <sheetFormatPr defaultRowHeight="14.4" x14ac:dyDescent="0.3"/>
  <cols>
    <col min="1" max="1" width="40.88671875" bestFit="1" customWidth="1"/>
    <col min="2" max="2" width="40.5546875" bestFit="1" customWidth="1"/>
    <col min="4" max="4" width="57.6640625" customWidth="1"/>
  </cols>
  <sheetData>
    <row r="1" spans="1:8" x14ac:dyDescent="0.3">
      <c r="A1" s="18" t="s">
        <v>47</v>
      </c>
      <c r="B1" s="18"/>
      <c r="C1" s="18"/>
      <c r="D1" s="18"/>
      <c r="E1" s="1"/>
      <c r="F1" s="1"/>
      <c r="G1" s="1"/>
      <c r="H1" s="1"/>
    </row>
    <row r="2" spans="1:8" x14ac:dyDescent="0.3">
      <c r="A2" s="18"/>
      <c r="B2" s="18"/>
      <c r="C2" s="18"/>
      <c r="D2" s="18"/>
      <c r="E2" s="1"/>
      <c r="F2" s="1"/>
      <c r="G2" s="1"/>
      <c r="H2" s="1"/>
    </row>
    <row r="3" spans="1:8" x14ac:dyDescent="0.3">
      <c r="A3" s="4" t="s">
        <v>1</v>
      </c>
      <c r="B3" s="3" t="s">
        <v>2</v>
      </c>
      <c r="C3" s="3" t="s">
        <v>3</v>
      </c>
      <c r="D3" s="3" t="s">
        <v>4</v>
      </c>
    </row>
    <row r="4" spans="1:8" x14ac:dyDescent="0.3">
      <c r="A4" s="3" t="s">
        <v>5</v>
      </c>
      <c r="B4" s="16">
        <v>220</v>
      </c>
      <c r="C4" s="3" t="s">
        <v>10</v>
      </c>
      <c r="D4" s="3" t="s">
        <v>26</v>
      </c>
    </row>
    <row r="5" spans="1:8" x14ac:dyDescent="0.3">
      <c r="A5" s="3" t="s">
        <v>7</v>
      </c>
      <c r="B5" s="3">
        <v>300000</v>
      </c>
      <c r="C5" s="3" t="s">
        <v>11</v>
      </c>
      <c r="D5" s="3" t="s">
        <v>27</v>
      </c>
    </row>
    <row r="6" spans="1:8" x14ac:dyDescent="0.3">
      <c r="A6" s="3" t="s">
        <v>19</v>
      </c>
      <c r="B6" s="16">
        <v>40</v>
      </c>
      <c r="C6" s="3" t="s">
        <v>20</v>
      </c>
      <c r="D6" s="3" t="s">
        <v>34</v>
      </c>
    </row>
    <row r="7" spans="1:8" x14ac:dyDescent="0.3">
      <c r="A7" s="3" t="s">
        <v>48</v>
      </c>
      <c r="B7" s="15">
        <v>0.70699999999999996</v>
      </c>
      <c r="C7" s="3"/>
      <c r="D7" s="3" t="s">
        <v>55</v>
      </c>
    </row>
    <row r="8" spans="1:8" ht="28.8" x14ac:dyDescent="0.3">
      <c r="A8" s="3" t="s">
        <v>49</v>
      </c>
      <c r="B8" s="3">
        <v>14.6</v>
      </c>
      <c r="C8" s="3" t="s">
        <v>50</v>
      </c>
      <c r="D8" s="2" t="s">
        <v>53</v>
      </c>
    </row>
    <row r="9" spans="1:8" x14ac:dyDescent="0.3">
      <c r="A9" s="4" t="s">
        <v>14</v>
      </c>
      <c r="B9" s="3"/>
      <c r="C9" s="3"/>
      <c r="D9" s="3"/>
    </row>
    <row r="10" spans="1:8" x14ac:dyDescent="0.3">
      <c r="A10" s="3" t="s">
        <v>21</v>
      </c>
      <c r="B10" s="16">
        <f>B5/(10^(B6/40))</f>
        <v>30000</v>
      </c>
      <c r="C10" s="3" t="s">
        <v>22</v>
      </c>
      <c r="D10" s="3" t="s">
        <v>35</v>
      </c>
    </row>
    <row r="11" spans="1:8" x14ac:dyDescent="0.3">
      <c r="A11" s="3" t="s">
        <v>23</v>
      </c>
      <c r="B11" s="11">
        <f>(2*B7*50)/(2*PI()*B10)*1000</f>
        <v>0.37507514921990004</v>
      </c>
      <c r="C11" s="3" t="s">
        <v>25</v>
      </c>
      <c r="D11" s="3" t="s">
        <v>36</v>
      </c>
    </row>
    <row r="12" spans="1:8" x14ac:dyDescent="0.3">
      <c r="A12" s="3" t="s">
        <v>24</v>
      </c>
      <c r="B12" s="11">
        <f>1/(B11*(2*PI()*B10)^2)*10^9</f>
        <v>7.5037691226730457E-2</v>
      </c>
      <c r="C12" s="3" t="s">
        <v>30</v>
      </c>
      <c r="D12" s="3" t="s">
        <v>37</v>
      </c>
    </row>
    <row r="13" spans="1:8" x14ac:dyDescent="0.3">
      <c r="A13" s="3" t="s">
        <v>54</v>
      </c>
      <c r="B13" s="5">
        <f>1/( (2 * PI() * B10)^2 * (B8 * 10^-6) )* 10^6</f>
        <v>1.9277241941084051</v>
      </c>
      <c r="C13" s="12" t="s">
        <v>52</v>
      </c>
      <c r="D13" s="3" t="s">
        <v>51</v>
      </c>
    </row>
    <row r="14" spans="1:8" ht="13.8" customHeight="1" x14ac:dyDescent="0.3">
      <c r="A14" s="3" t="s">
        <v>57</v>
      </c>
      <c r="B14" s="5">
        <f xml:space="preserve"> (B4 * 1.1) * 2 * PI() * 50 * ( (B12 * 10^-9) + ( (B13 * 10^-6 * B12 * 10^-9) / ( (B13 * 10^-6) + (B12 * 10^-9) ) ) ) * 1000</f>
        <v>1.1409490343888279E-2</v>
      </c>
      <c r="C14" s="3" t="s">
        <v>56</v>
      </c>
      <c r="D14" s="3" t="str">
        <f>IF(B14&lt;3.5, "✔ will pass Leakage test", "❌ Check values")</f>
        <v>✔ will pass Leakage test</v>
      </c>
    </row>
    <row r="15" spans="1:8" ht="13.8" customHeight="1" x14ac:dyDescent="0.3">
      <c r="A15" s="3" t="s">
        <v>58</v>
      </c>
      <c r="B15" s="5">
        <f>-1/(LN(60/(B4*1.1))* (B13*0.000001 + (1 / (1/(B12*0.000000001) + 1/(B12*0.000000001)))))</f>
        <v>371962.46524979733</v>
      </c>
      <c r="C15" s="3" t="s">
        <v>59</v>
      </c>
      <c r="D15" s="3"/>
    </row>
    <row r="16" spans="1:8" ht="13.8" customHeight="1" x14ac:dyDescent="0.3">
      <c r="A16" s="3" t="s">
        <v>61</v>
      </c>
      <c r="B16" s="5">
        <f>((B4*B4*1.1)/B15)</f>
        <v>0.14313272164234592</v>
      </c>
      <c r="C16" s="3" t="s">
        <v>60</v>
      </c>
      <c r="D16" s="3"/>
    </row>
    <row r="17" spans="1:8" x14ac:dyDescent="0.3">
      <c r="A17" s="4" t="s">
        <v>42</v>
      </c>
      <c r="B17" s="3"/>
      <c r="C17" s="3"/>
      <c r="D17" s="3"/>
      <c r="H17" s="8"/>
    </row>
    <row r="18" spans="1:8" x14ac:dyDescent="0.3">
      <c r="A18" s="3" t="s">
        <v>29</v>
      </c>
      <c r="B18" s="3" t="s">
        <v>46</v>
      </c>
      <c r="C18" s="3"/>
      <c r="D18" s="3" t="s">
        <v>39</v>
      </c>
      <c r="H18" s="9" t="s">
        <v>45</v>
      </c>
    </row>
    <row r="19" spans="1:8" ht="28.8" x14ac:dyDescent="0.3">
      <c r="A19" s="3" t="s">
        <v>41</v>
      </c>
      <c r="B19" s="3">
        <v>1</v>
      </c>
      <c r="C19" s="3" t="str">
        <f>IF(B18="Y Capacitor", "nF", "mH")</f>
        <v>mH</v>
      </c>
      <c r="D19" s="7" t="s">
        <v>43</v>
      </c>
      <c r="H19" s="10" t="s">
        <v>46</v>
      </c>
    </row>
    <row r="20" spans="1:8" x14ac:dyDescent="0.3">
      <c r="A20" s="3" t="s">
        <v>28</v>
      </c>
      <c r="B20" s="3"/>
      <c r="C20" s="3"/>
      <c r="D20" s="3"/>
    </row>
    <row r="21" spans="1:8" x14ac:dyDescent="0.3">
      <c r="A21" s="3" t="str">
        <f>IF(B18="Y Capacitor",  "Required Choke (L):", "Required Y-Cap (Cy):")</f>
        <v>Required Y-Cap (Cy):</v>
      </c>
      <c r="B21" s="6">
        <f>IF(B18="Y Capacitor",1/((B19*10^-9)*(2*PI()*B10)^2),(1/(B19*10^-3))/((2*PI()*B10)^2)*10^9)</f>
        <v>28.144773233982711</v>
      </c>
      <c r="C21" s="3" t="str">
        <f>IF(B18="Y Capacitor", "mH", "pF")</f>
        <v>pF</v>
      </c>
      <c r="D21" s="3"/>
    </row>
    <row r="22" spans="1:8" x14ac:dyDescent="0.3">
      <c r="A22" s="3" t="s">
        <v>44</v>
      </c>
      <c r="B22" s="6">
        <f>1/(2*PI()*SQRT(IF(B18="Y Capacitor", B21, B19*10^-3) * IF(B18="Y Capacitor", B19*10^-9, B21*10^-9)))</f>
        <v>30000.000000000004</v>
      </c>
      <c r="C22" s="3" t="s">
        <v>22</v>
      </c>
      <c r="D22" s="3" t="str">
        <f>IF(ABS(B22-B10)/B10&lt;0.05, "✔ Attenuation MATCHED", "❌ Check values")</f>
        <v>✔ Attenuation MATCHED</v>
      </c>
    </row>
  </sheetData>
  <mergeCells count="1">
    <mergeCell ref="A1:D2"/>
  </mergeCells>
  <dataValidations count="1">
    <dataValidation type="list" allowBlank="1" showInputMessage="1" showErrorMessage="1" sqref="B18" xr:uid="{DF5B0764-2823-4C48-ADEA-99C1121A691E}">
      <formula1>$H$18:$H$19</formula1>
    </dataValidation>
  </dataValidation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43ADC96268654DA6519F19B164BD76" ma:contentTypeVersion="16" ma:contentTypeDescription="Create a new document." ma:contentTypeScope="" ma:versionID="9f2f9fbe9b275a50463ca89e57b31a73">
  <xsd:schema xmlns:xsd="http://www.w3.org/2001/XMLSchema" xmlns:xs="http://www.w3.org/2001/XMLSchema" xmlns:p="http://schemas.microsoft.com/office/2006/metadata/properties" xmlns:ns2="38035219-bdf8-447b-a556-d44871d61ef0" xmlns:ns3="24ca615f-dd6c-4d23-91a9-a183b2584b25" targetNamespace="http://schemas.microsoft.com/office/2006/metadata/properties" ma:root="true" ma:fieldsID="85649dce696bd7f1f98110226af992ea" ns2:_="" ns3:_="">
    <xsd:import namespace="38035219-bdf8-447b-a556-d44871d61ef0"/>
    <xsd:import namespace="24ca615f-dd6c-4d23-91a9-a183b2584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DocumentNo_x002e_" minOccurs="0"/>
                <xsd:element ref="ns2:Description_x002d_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035219-bdf8-447b-a556-d44871d61e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e8d1266-e8fc-4fdf-96d1-3011a3c59f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ocumentNo_x002e_" ma:index="20" nillable="true" ma:displayName="Document No." ma:format="Dropdown" ma:internalName="DocumentNo_x002e_">
      <xsd:simpleType>
        <xsd:restriction base="dms:Text">
          <xsd:maxLength value="255"/>
        </xsd:restriction>
      </xsd:simpleType>
    </xsd:element>
    <xsd:element name="Description_x002d_" ma:index="21" nillable="true" ma:displayName="Doc. Description" ma:format="Dropdown" ma:internalName="Description_x002d_">
      <xsd:simpleType>
        <xsd:restriction base="dms:Text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ca615f-dd6c-4d23-91a9-a183b2584b2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7b9debb-8fa5-43a4-b209-b123d01618a5}" ma:internalName="TaxCatchAll" ma:showField="CatchAllData" ma:web="24ca615f-dd6c-4d23-91a9-a183b2584b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_x002d_ xmlns="38035219-bdf8-447b-a556-d44871d61ef0" xsi:nil="true"/>
    <lcf76f155ced4ddcb4097134ff3c332f xmlns="38035219-bdf8-447b-a556-d44871d61ef0">
      <Terms xmlns="http://schemas.microsoft.com/office/infopath/2007/PartnerControls"/>
    </lcf76f155ced4ddcb4097134ff3c332f>
    <TaxCatchAll xmlns="24ca615f-dd6c-4d23-91a9-a183b2584b25" xsi:nil="true"/>
    <DocumentNo_x002e_ xmlns="38035219-bdf8-447b-a556-d44871d61ef0" xsi:nil="true"/>
  </documentManagement>
</p:properties>
</file>

<file path=customXml/itemProps1.xml><?xml version="1.0" encoding="utf-8"?>
<ds:datastoreItem xmlns:ds="http://schemas.openxmlformats.org/officeDocument/2006/customXml" ds:itemID="{42F64D15-CD2D-4287-A330-516F4E0FD519}"/>
</file>

<file path=customXml/itemProps2.xml><?xml version="1.0" encoding="utf-8"?>
<ds:datastoreItem xmlns:ds="http://schemas.openxmlformats.org/officeDocument/2006/customXml" ds:itemID="{8DB9CEA9-0EDD-4467-95F3-00E49076AEF7}"/>
</file>

<file path=customXml/itemProps3.xml><?xml version="1.0" encoding="utf-8"?>
<ds:datastoreItem xmlns:ds="http://schemas.openxmlformats.org/officeDocument/2006/customXml" ds:itemID="{C7B9CD1C-9FF3-48BD-992A-A72B7081CD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EMI FILTER DESIGN CALCULATOR</vt:lpstr>
      <vt:lpstr>EMI FILTER DESIGN CALCULATO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Abdallah Ebraheem Abdelmotalb Keshk</dc:creator>
  <cp:lastModifiedBy>Abdallah Ebraheem Abdelmotalb Keshk</cp:lastModifiedBy>
  <dcterms:created xsi:type="dcterms:W3CDTF">2015-06-05T18:17:20Z</dcterms:created>
  <dcterms:modified xsi:type="dcterms:W3CDTF">2025-06-15T14:19:23Z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0x010100EB43ADC96268654DA6519F19B164BD76</vt:lpwstr>
  </property>
</Properties>
</file>