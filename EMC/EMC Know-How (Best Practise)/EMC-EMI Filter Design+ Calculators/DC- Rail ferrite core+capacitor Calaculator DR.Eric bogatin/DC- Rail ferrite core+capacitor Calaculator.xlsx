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ocument\Kishk Tips and tricks\DC- Rail ferrite core+capacitor Calaculator DR.Eric bogatin\"/>
    </mc:Choice>
  </mc:AlternateContent>
  <xr:revisionPtr revIDLastSave="0" documentId="13_ncr:1_{DA644AAC-3572-4C81-BB2B-2E81235D8E8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inputs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7" l="1"/>
  <c r="B21" i="7"/>
  <c r="C21" i="7" s="1"/>
  <c r="B20" i="7"/>
  <c r="B7" i="7"/>
  <c r="B9" i="7" s="1"/>
  <c r="C9" i="7" s="1"/>
</calcChain>
</file>

<file path=xl/sharedStrings.xml><?xml version="1.0" encoding="utf-8"?>
<sst xmlns="http://schemas.openxmlformats.org/spreadsheetml/2006/main" count="28" uniqueCount="26">
  <si>
    <t>Input Parameters</t>
  </si>
  <si>
    <t>Value</t>
  </si>
  <si>
    <t>Note</t>
  </si>
  <si>
    <t>Automatic Equations calaculation</t>
  </si>
  <si>
    <t>INPUTS</t>
  </si>
  <si>
    <t>Automatic Checklist of the selection</t>
  </si>
  <si>
    <t>In µH</t>
  </si>
  <si>
    <t>In µF</t>
  </si>
  <si>
    <t>Used inductor (Ferrite of wire wond)</t>
  </si>
  <si>
    <t>Used capacitor</t>
  </si>
  <si>
    <t>Q</t>
  </si>
  <si>
    <t>in Ohm</t>
  </si>
  <si>
    <t>Does the R-DC of the inductor is appropriate to the load impedance</t>
  </si>
  <si>
    <t>R-load</t>
  </si>
  <si>
    <t>R-DC Of the chosen inductor</t>
  </si>
  <si>
    <t>Capaictor used</t>
  </si>
  <si>
    <t>inductance used</t>
  </si>
  <si>
    <t>V output</t>
  </si>
  <si>
    <t>I output</t>
  </si>
  <si>
    <t>To get R load assume the worest case "Highest current drawn"</t>
  </si>
  <si>
    <t>Automatic Equations calaculation For the trying values section</t>
  </si>
  <si>
    <t>if YOU DON’T KNOW SOME PARAMETER OR TRYING VALUES "INPUTS"</t>
  </si>
  <si>
    <t>in Ohm*Given in datasheet*</t>
  </si>
  <si>
    <t>R-load in Ohm</t>
  </si>
  <si>
    <t xml:space="preserve">in Ohm =VOUT/I OUT </t>
  </si>
  <si>
    <t>R-DC of the inductor needed to make Q=1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</si>
</sst>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0</xdr:rowOff>
    </xdr:from>
    <xdr:to>
      <xdr:col>12</xdr:col>
      <xdr:colOff>353235</xdr:colOff>
      <xdr:row>9</xdr:row>
      <xdr:rowOff>4142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FAFCF0-D91C-4920-A753-C921DC501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6280" y="0"/>
          <a:ext cx="5801535" cy="2381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857F-2813-4E3E-835E-30F30F86276D}">
  <dimension ref="A1:N38"/>
  <sheetViews>
    <sheetView tabSelected="1" workbookViewId="0">
      <selection activeCell="A6" sqref="A6:C6"/>
    </sheetView>
  </sheetViews>
  <sheetFormatPr defaultRowHeight="14.4" x14ac:dyDescent="0.3"/>
  <cols>
    <col min="1" max="1" width="42.6640625" customWidth="1"/>
    <col min="2" max="2" width="28" style="12" customWidth="1"/>
    <col min="3" max="3" width="50.33203125" bestFit="1" customWidth="1"/>
  </cols>
  <sheetData>
    <row r="1" spans="1:14" ht="28.8" x14ac:dyDescent="0.55000000000000004">
      <c r="A1" s="15" t="s">
        <v>4</v>
      </c>
      <c r="B1" s="15"/>
      <c r="C1" s="15"/>
    </row>
    <row r="2" spans="1:14" x14ac:dyDescent="0.3">
      <c r="A2" s="2" t="s">
        <v>0</v>
      </c>
      <c r="B2" s="9" t="s">
        <v>1</v>
      </c>
      <c r="C2" s="2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4" t="s">
        <v>8</v>
      </c>
      <c r="B3" s="7">
        <v>1</v>
      </c>
      <c r="C3" s="3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4" t="s">
        <v>9</v>
      </c>
      <c r="B4" s="7">
        <v>8.1999999999999993</v>
      </c>
      <c r="C4" s="6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5" t="s">
        <v>13</v>
      </c>
      <c r="B5" s="7">
        <v>3.3</v>
      </c>
      <c r="C5" s="5" t="s">
        <v>24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8.8" x14ac:dyDescent="0.3">
      <c r="A6" s="16" t="s">
        <v>3</v>
      </c>
      <c r="B6" s="16"/>
      <c r="C6" s="16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 t="s">
        <v>25</v>
      </c>
      <c r="B7" s="10">
        <f>SQRT((B3*10^-6) / (B4*10^-6) )</f>
        <v>0.34921514788478908</v>
      </c>
      <c r="C7" s="8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8.8" customHeight="1" x14ac:dyDescent="0.3">
      <c r="A8" s="16" t="s">
        <v>5</v>
      </c>
      <c r="B8" s="16"/>
      <c r="C8" s="16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8.8" x14ac:dyDescent="0.3">
      <c r="A9" s="5" t="s">
        <v>12</v>
      </c>
      <c r="B9" s="7" t="str">
        <f>IF(B7*10&lt;B5, "Yes","NO and will cause voltage drop")</f>
        <v>NO and will cause voltage drop</v>
      </c>
      <c r="C9" s="3" t="str">
        <f>IF(B9="YES","R-DC of the inductor will not cause a signifecnt voltage drop","R-DC of the inductor will  cause a signifecnt voltage drop")</f>
        <v>R-DC of the inductor will  cause a signifecnt voltage drop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4"/>
      <c r="B10" s="14"/>
      <c r="C10" s="14"/>
    </row>
    <row r="11" spans="1:14" x14ac:dyDescent="0.3">
      <c r="A11" s="14"/>
      <c r="B11" s="14"/>
      <c r="C11" s="14"/>
    </row>
    <row r="12" spans="1:14" x14ac:dyDescent="0.3">
      <c r="A12" s="14"/>
      <c r="B12" s="14"/>
      <c r="C12" s="14"/>
    </row>
    <row r="13" spans="1:14" ht="28.8" customHeight="1" x14ac:dyDescent="0.55000000000000004">
      <c r="A13" s="13" t="s">
        <v>21</v>
      </c>
      <c r="B13" s="13"/>
      <c r="C13" s="1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4" t="s">
        <v>15</v>
      </c>
      <c r="B14" s="7">
        <v>0.2</v>
      </c>
      <c r="C14" s="6" t="s">
        <v>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4" t="s">
        <v>16</v>
      </c>
      <c r="B15" s="7">
        <v>4.7</v>
      </c>
      <c r="C15" s="6" t="s">
        <v>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4" t="s">
        <v>14</v>
      </c>
      <c r="B16" s="7">
        <v>0.22</v>
      </c>
      <c r="C16" s="5" t="s">
        <v>22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5" t="s">
        <v>17</v>
      </c>
      <c r="B17" s="7">
        <v>5</v>
      </c>
      <c r="C17" s="17" t="s">
        <v>19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5" t="s">
        <v>18</v>
      </c>
      <c r="B18" s="7">
        <v>10</v>
      </c>
      <c r="C18" s="1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8.8" x14ac:dyDescent="0.55000000000000004">
      <c r="A19" s="13" t="s">
        <v>20</v>
      </c>
      <c r="B19" s="13"/>
      <c r="C19" s="1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5" t="s">
        <v>23</v>
      </c>
      <c r="B20" s="7">
        <f>B17/B18</f>
        <v>0.5</v>
      </c>
      <c r="C20" s="6" t="str">
        <f>IF(B20&gt;10*B16,"R-DC of the inductor will not cause a signifecnt voltage drop","R-DC of the inductor will  cause a signifecnt voltage drop")</f>
        <v>R-DC of the inductor will  cause a signifecnt voltage drop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3" t="s">
        <v>10</v>
      </c>
      <c r="B21" s="7">
        <f>(1/B16)*SQRT((B15*10^-6) / (B14*10^-6))</f>
        <v>22.034908442801498</v>
      </c>
      <c r="C21" s="5" t="str">
        <f>IF(B21=1,"Critical damped",IF(B21&gt;1,"Over damped ","Under damped"))</f>
        <v xml:space="preserve">Over damped 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3"/>
      <c r="B25" s="7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3"/>
      <c r="B26" s="7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3"/>
      <c r="B27" s="7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3"/>
      <c r="B28" s="7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3"/>
      <c r="B29" s="7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">
      <c r="A30" s="3"/>
      <c r="B30" s="7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">
      <c r="A31" s="3"/>
      <c r="B31" s="7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">
      <c r="A32" s="3"/>
      <c r="B32" s="7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">
      <c r="A33" s="3"/>
      <c r="B33" s="7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">
      <c r="A34" s="3"/>
      <c r="B34" s="7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">
      <c r="A35" s="1"/>
      <c r="B35" s="1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">
      <c r="A36" s="1"/>
      <c r="B36" s="1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">
      <c r="A37" s="1"/>
      <c r="B37" s="1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">
      <c r="A38" s="1"/>
      <c r="B38" s="1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</sheetData>
  <mergeCells count="7">
    <mergeCell ref="A19:C19"/>
    <mergeCell ref="A10:C12"/>
    <mergeCell ref="A1:C1"/>
    <mergeCell ref="A6:C6"/>
    <mergeCell ref="A8:C8"/>
    <mergeCell ref="A13:C13"/>
    <mergeCell ref="C17:C1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43ADC96268654DA6519F19B164BD76" ma:contentTypeVersion="16" ma:contentTypeDescription="Create a new document." ma:contentTypeScope="" ma:versionID="9f2f9fbe9b275a50463ca89e57b31a73">
  <xsd:schema xmlns:xsd="http://www.w3.org/2001/XMLSchema" xmlns:xs="http://www.w3.org/2001/XMLSchema" xmlns:p="http://schemas.microsoft.com/office/2006/metadata/properties" xmlns:ns2="38035219-bdf8-447b-a556-d44871d61ef0" xmlns:ns3="24ca615f-dd6c-4d23-91a9-a183b2584b25" targetNamespace="http://schemas.microsoft.com/office/2006/metadata/properties" ma:root="true" ma:fieldsID="85649dce696bd7f1f98110226af992ea" ns2:_="" ns3:_="">
    <xsd:import namespace="38035219-bdf8-447b-a556-d44871d61ef0"/>
    <xsd:import namespace="24ca615f-dd6c-4d23-91a9-a183b2584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DocumentNo_x002e_" minOccurs="0"/>
                <xsd:element ref="ns2:Description_x002d_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35219-bdf8-447b-a556-d44871d61e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e8d1266-e8fc-4fdf-96d1-3011a3c59f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cumentNo_x002e_" ma:index="20" nillable="true" ma:displayName="Document No." ma:format="Dropdown" ma:internalName="DocumentNo_x002e_">
      <xsd:simpleType>
        <xsd:restriction base="dms:Text">
          <xsd:maxLength value="255"/>
        </xsd:restriction>
      </xsd:simpleType>
    </xsd:element>
    <xsd:element name="Description_x002d_" ma:index="21" nillable="true" ma:displayName="Doc. Description" ma:format="Dropdown" ma:internalName="Description_x002d_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ca615f-dd6c-4d23-91a9-a183b2584b2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7b9debb-8fa5-43a4-b209-b123d01618a5}" ma:internalName="TaxCatchAll" ma:showField="CatchAllData" ma:web="24ca615f-dd6c-4d23-91a9-a183b2584b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_x002d_ xmlns="38035219-bdf8-447b-a556-d44871d61ef0" xsi:nil="true"/>
    <lcf76f155ced4ddcb4097134ff3c332f xmlns="38035219-bdf8-447b-a556-d44871d61ef0">
      <Terms xmlns="http://schemas.microsoft.com/office/infopath/2007/PartnerControls"/>
    </lcf76f155ced4ddcb4097134ff3c332f>
    <TaxCatchAll xmlns="24ca615f-dd6c-4d23-91a9-a183b2584b25" xsi:nil="true"/>
    <DocumentNo_x002e_ xmlns="38035219-bdf8-447b-a556-d44871d61ef0" xsi:nil="true"/>
  </documentManagement>
</p:properties>
</file>

<file path=customXml/itemProps1.xml><?xml version="1.0" encoding="utf-8"?>
<ds:datastoreItem xmlns:ds="http://schemas.openxmlformats.org/officeDocument/2006/customXml" ds:itemID="{4CE7CA66-0C5A-4B8B-8400-570F1EA7B77D}"/>
</file>

<file path=customXml/itemProps2.xml><?xml version="1.0" encoding="utf-8"?>
<ds:datastoreItem xmlns:ds="http://schemas.openxmlformats.org/officeDocument/2006/customXml" ds:itemID="{68B97724-E4E4-4A46-A235-258ACBD89981}"/>
</file>

<file path=customXml/itemProps3.xml><?xml version="1.0" encoding="utf-8"?>
<ds:datastoreItem xmlns:ds="http://schemas.openxmlformats.org/officeDocument/2006/customXml" ds:itemID="{F7459DA0-7C8D-416A-84C3-8FF7B56C1A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Ebraheem Abdelmotalb Keshk</dc:creator>
  <cp:lastModifiedBy>Abdallah Ebraheem Abdelmotalb Keshk</cp:lastModifiedBy>
  <dcterms:created xsi:type="dcterms:W3CDTF">2015-06-05T18:17:20Z</dcterms:created>
  <dcterms:modified xsi:type="dcterms:W3CDTF">2025-12-23T09:25:48Z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0x010100EB43ADC96268654DA6519F19B164BD76</vt:lpwstr>
  </property>
</Properties>
</file>