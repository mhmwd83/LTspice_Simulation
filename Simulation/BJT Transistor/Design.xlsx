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LTspice\Simulation\Simulation\BJT Transistor\"/>
    </mc:Choice>
  </mc:AlternateContent>
  <xr:revisionPtr revIDLastSave="0" documentId="13_ncr:1_{6F159BEF-5F1B-4FAC-A3E3-CF755323AE6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C33" i="1"/>
  <c r="C26" i="1"/>
  <c r="D10" i="1"/>
  <c r="C17" i="1"/>
</calcChain>
</file>

<file path=xl/sharedStrings.xml><?xml version="1.0" encoding="utf-8"?>
<sst xmlns="http://schemas.openxmlformats.org/spreadsheetml/2006/main" count="49" uniqueCount="39">
  <si>
    <r>
      <t xml:space="preserve">1- </t>
    </r>
    <r>
      <rPr>
        <b/>
        <sz val="14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c</t>
    </r>
  </si>
  <si>
    <r>
      <t xml:space="preserve">2- </t>
    </r>
    <r>
      <rPr>
        <b/>
        <sz val="14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B</t>
    </r>
  </si>
  <si>
    <r>
      <t xml:space="preserve">3- </t>
    </r>
    <r>
      <rPr>
        <b/>
        <sz val="14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B</t>
    </r>
  </si>
  <si>
    <t>From Datasheet</t>
  </si>
  <si>
    <t>Need to Calculate</t>
  </si>
  <si>
    <t>Need to Check</t>
  </si>
  <si>
    <r>
      <t xml:space="preserve">1- </t>
    </r>
    <r>
      <rPr>
        <b/>
        <sz val="14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ce(max) = </t>
    </r>
  </si>
  <si>
    <t>V</t>
  </si>
  <si>
    <r>
      <t xml:space="preserve">2- </t>
    </r>
    <r>
      <rPr>
        <b/>
        <sz val="14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C(max) =</t>
    </r>
  </si>
  <si>
    <t>mA</t>
  </si>
  <si>
    <r>
      <t xml:space="preserve">3- </t>
    </r>
    <r>
      <rPr>
        <b/>
        <sz val="14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d(max) =</t>
    </r>
  </si>
  <si>
    <t>mW</t>
  </si>
  <si>
    <r>
      <t xml:space="preserve">4- </t>
    </r>
    <r>
      <rPr>
        <b/>
        <sz val="14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fe </t>
    </r>
    <r>
      <rPr>
        <b/>
        <sz val="14"/>
        <color theme="1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 =</t>
    </r>
  </si>
  <si>
    <t>For Load</t>
  </si>
  <si>
    <r>
      <t xml:space="preserve">2- </t>
    </r>
    <r>
      <rPr>
        <b/>
        <sz val="14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load =</t>
    </r>
  </si>
  <si>
    <r>
      <t xml:space="preserve">1- </t>
    </r>
    <r>
      <rPr>
        <b/>
        <sz val="14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load = </t>
    </r>
  </si>
  <si>
    <r>
      <rPr>
        <b/>
        <sz val="14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C =</t>
    </r>
  </si>
  <si>
    <r>
      <t xml:space="preserve">3- </t>
    </r>
    <r>
      <rPr>
        <b/>
        <sz val="14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CC = </t>
    </r>
  </si>
  <si>
    <r>
      <t xml:space="preserve">5- </t>
    </r>
    <r>
      <rPr>
        <b/>
        <sz val="14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ce =</t>
    </r>
  </si>
  <si>
    <t>Ω</t>
  </si>
  <si>
    <t>The closest larger standard value = 150 Ω</t>
  </si>
  <si>
    <r>
      <t xml:space="preserve"> </t>
    </r>
    <r>
      <rPr>
        <b/>
        <sz val="14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c =</t>
    </r>
  </si>
  <si>
    <r>
      <rPr>
        <b/>
        <sz val="14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load =</t>
    </r>
  </si>
  <si>
    <t>From datasheet B = 110 but we will use Bforced = 10 to force transistor to be in saturation region and to be fully on</t>
  </si>
  <si>
    <t>Bforced =</t>
  </si>
  <si>
    <r>
      <rPr>
        <b/>
        <sz val="14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b =</t>
    </r>
  </si>
  <si>
    <r>
      <rPr>
        <b/>
        <sz val="14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b =</t>
    </r>
  </si>
  <si>
    <r>
      <t xml:space="preserve">4- </t>
    </r>
    <r>
      <rPr>
        <b/>
        <sz val="14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control = </t>
    </r>
  </si>
  <si>
    <r>
      <t xml:space="preserve">6- </t>
    </r>
    <r>
      <rPr>
        <b/>
        <sz val="14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be =</t>
    </r>
  </si>
  <si>
    <t>The closest larger standard value = 750 Ω</t>
  </si>
  <si>
    <r>
      <rPr>
        <b/>
        <sz val="14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d =</t>
    </r>
  </si>
  <si>
    <r>
      <rPr>
        <b/>
        <sz val="14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c * </t>
    </r>
    <r>
      <rPr>
        <b/>
        <sz val="14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ce(sat)</t>
    </r>
  </si>
  <si>
    <r>
      <rPr>
        <b/>
        <sz val="14"/>
        <rFont val="Calibri"/>
        <family val="2"/>
        <scheme val="minor"/>
      </rPr>
      <t>P</t>
    </r>
    <r>
      <rPr>
        <sz val="11"/>
        <rFont val="Calibri"/>
        <family val="2"/>
        <scheme val="minor"/>
      </rPr>
      <t>d =</t>
    </r>
  </si>
  <si>
    <r>
      <t xml:space="preserve">which is lower than </t>
    </r>
    <r>
      <rPr>
        <b/>
        <sz val="14"/>
        <rFont val="Calibri"/>
        <family val="2"/>
        <scheme val="minor"/>
      </rPr>
      <t>P</t>
    </r>
    <r>
      <rPr>
        <sz val="11"/>
        <rFont val="Calibri"/>
        <family val="2"/>
        <scheme val="minor"/>
      </rPr>
      <t>d(max) for our transistor</t>
    </r>
  </si>
  <si>
    <r>
      <t xml:space="preserve">which is lower than </t>
    </r>
    <r>
      <rPr>
        <b/>
        <sz val="14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c(max) for our transistor</t>
    </r>
  </si>
  <si>
    <r>
      <t xml:space="preserve">which is lower than </t>
    </r>
    <r>
      <rPr>
        <b/>
        <sz val="14"/>
        <rFont val="Calibri"/>
        <family val="2"/>
        <scheme val="minor"/>
      </rPr>
      <t>V</t>
    </r>
    <r>
      <rPr>
        <sz val="11"/>
        <rFont val="Calibri"/>
        <family val="2"/>
        <scheme val="minor"/>
      </rPr>
      <t>ce(max) for our transistor</t>
    </r>
  </si>
  <si>
    <r>
      <t xml:space="preserve">1- </t>
    </r>
    <r>
      <rPr>
        <b/>
        <sz val="14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cc &lt; </t>
    </r>
    <r>
      <rPr>
        <b/>
        <sz val="14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ce(max) = 45V</t>
    </r>
  </si>
  <si>
    <r>
      <t xml:space="preserve">2- </t>
    </r>
    <r>
      <rPr>
        <b/>
        <sz val="14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load &lt; </t>
    </r>
    <r>
      <rPr>
        <b/>
        <sz val="14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c(max) = 100mA</t>
    </r>
  </si>
  <si>
    <r>
      <t xml:space="preserve">3- </t>
    </r>
    <r>
      <rPr>
        <b/>
        <sz val="14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d &lt; </t>
    </r>
    <r>
      <rPr>
        <b/>
        <sz val="14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d(max) = 500mW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</si>
</sst>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</xdr:colOff>
      <xdr:row>12</xdr:row>
      <xdr:rowOff>95250</xdr:rowOff>
    </xdr:from>
    <xdr:ext cx="2667000" cy="4677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51CDF3F-1ABA-4B27-908C-1310C542A0F5}"/>
                </a:ext>
              </a:extLst>
            </xdr:cNvPr>
            <xdr:cNvSpPr txBox="1"/>
          </xdr:nvSpPr>
          <xdr:spPr>
            <a:xfrm>
              <a:off x="1219200" y="1421130"/>
              <a:ext cx="2667000" cy="4677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latin typeface="Cambria Math" panose="02040503050406030204" pitchFamily="18" charset="0"/>
                      </a:rPr>
                      <m:t>𝐑</m:t>
                    </m:r>
                    <m:r>
                      <a:rPr lang="en-US" sz="1600" b="1" i="1">
                        <a:latin typeface="Cambria Math" panose="02040503050406030204" pitchFamily="18" charset="0"/>
                      </a:rPr>
                      <m:t>𝒄</m:t>
                    </m:r>
                    <m:r>
                      <a:rPr lang="en-US" sz="160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𝑽𝒄𝒄</m:t>
                        </m:r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𝑽𝒍𝒐𝒂𝒅</m:t>
                        </m:r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kumimoji="0" lang="en-US" sz="16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𝑽𝒄𝒆</m:t>
                        </m:r>
                      </m:num>
                      <m:den>
                        <m:r>
                          <a:rPr kumimoji="0" lang="en-US" sz="14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𝑰𝒄</m:t>
                        </m:r>
                      </m:den>
                    </m:f>
                  </m:oMath>
                </m:oMathPara>
              </a14:m>
              <a:endParaRPr lang="en-US" sz="1600" b="1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51CDF3F-1ABA-4B27-908C-1310C542A0F5}"/>
                </a:ext>
              </a:extLst>
            </xdr:cNvPr>
            <xdr:cNvSpPr txBox="1"/>
          </xdr:nvSpPr>
          <xdr:spPr>
            <a:xfrm>
              <a:off x="1219200" y="1421130"/>
              <a:ext cx="2667000" cy="4677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1" i="0">
                  <a:latin typeface="Cambria Math" panose="02040503050406030204" pitchFamily="18" charset="0"/>
                </a:rPr>
                <a:t>𝐑𝒄=(𝑽𝒄𝒄 −𝑽𝒍𝒐𝒂𝒅 −</a:t>
              </a:r>
              <a:r>
                <a:rPr kumimoji="0" lang="en-US" sz="16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𝑽𝒄𝒆)/</a:t>
              </a:r>
              <a:r>
                <a:rPr kumimoji="0" lang="en-US" sz="14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𝑰𝒄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1</xdr:col>
      <xdr:colOff>99060</xdr:colOff>
      <xdr:row>18</xdr:row>
      <xdr:rowOff>102870</xdr:rowOff>
    </xdr:from>
    <xdr:ext cx="2689860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78FED15-9A90-4BB2-B174-27ADB0B50762}"/>
                </a:ext>
              </a:extLst>
            </xdr:cNvPr>
            <xdr:cNvSpPr txBox="1"/>
          </xdr:nvSpPr>
          <xdr:spPr>
            <a:xfrm>
              <a:off x="1310640" y="3577590"/>
              <a:ext cx="268986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latin typeface="Cambria Math" panose="02040503050406030204" pitchFamily="18" charset="0"/>
                      </a:rPr>
                      <m:t>𝑰𝑪</m:t>
                    </m:r>
                    <m:r>
                      <a:rPr lang="en-US" sz="1600" b="1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600" b="1" i="0">
                        <a:latin typeface="Cambria Math" panose="02040503050406030204" pitchFamily="18" charset="0"/>
                      </a:rPr>
                      <m:t>𝐁</m:t>
                    </m:r>
                    <m:r>
                      <a:rPr lang="en-US" sz="1600" b="1" i="0">
                        <a:latin typeface="Cambria Math" panose="02040503050406030204" pitchFamily="18" charset="0"/>
                      </a:rPr>
                      <m:t>∗</m:t>
                    </m:r>
                    <m:r>
                      <a:rPr kumimoji="0" lang="en-US" sz="1600" b="1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𝑰𝒃</m:t>
                    </m:r>
                  </m:oMath>
                </m:oMathPara>
              </a14:m>
              <a:endParaRPr lang="en-US" sz="1600" b="1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78FED15-9A90-4BB2-B174-27ADB0B50762}"/>
                </a:ext>
              </a:extLst>
            </xdr:cNvPr>
            <xdr:cNvSpPr txBox="1"/>
          </xdr:nvSpPr>
          <xdr:spPr>
            <a:xfrm>
              <a:off x="1310640" y="3577590"/>
              <a:ext cx="268986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1" i="0">
                  <a:latin typeface="Cambria Math" panose="02040503050406030204" pitchFamily="18" charset="0"/>
                </a:rPr>
                <a:t>𝑰𝑪=𝐁∗</a:t>
              </a:r>
              <a:r>
                <a:rPr kumimoji="0" lang="en-US" sz="16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𝑰𝒃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0</xdr:col>
      <xdr:colOff>1196340</xdr:colOff>
      <xdr:row>27</xdr:row>
      <xdr:rowOff>95250</xdr:rowOff>
    </xdr:from>
    <xdr:ext cx="2689860" cy="4675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5E413E0-E09B-4974-9013-3CF678EC2530}"/>
                </a:ext>
              </a:extLst>
            </xdr:cNvPr>
            <xdr:cNvSpPr txBox="1"/>
          </xdr:nvSpPr>
          <xdr:spPr>
            <a:xfrm>
              <a:off x="1196340" y="5261610"/>
              <a:ext cx="2689860" cy="467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latin typeface="Cambria Math" panose="02040503050406030204" pitchFamily="18" charset="0"/>
                      </a:rPr>
                      <m:t>𝐑</m:t>
                    </m:r>
                    <m:r>
                      <a:rPr lang="en-US" sz="1600" b="1" i="1">
                        <a:latin typeface="Cambria Math" panose="02040503050406030204" pitchFamily="18" charset="0"/>
                      </a:rPr>
                      <m:t>𝒃</m:t>
                    </m:r>
                    <m:r>
                      <a:rPr lang="en-US" sz="160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𝑽𝒄𝒐𝒏𝒕𝒓𝒐𝒍</m:t>
                        </m:r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kumimoji="0" lang="en-US" sz="16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𝑽𝒃𝒆</m:t>
                        </m:r>
                      </m:num>
                      <m:den>
                        <m:r>
                          <a:rPr kumimoji="0" lang="en-US" sz="1400" b="1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𝑰𝒃</m:t>
                        </m:r>
                      </m:den>
                    </m:f>
                  </m:oMath>
                </m:oMathPara>
              </a14:m>
              <a:endParaRPr lang="en-US" sz="1600" b="1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5E413E0-E09B-4974-9013-3CF678EC2530}"/>
                </a:ext>
              </a:extLst>
            </xdr:cNvPr>
            <xdr:cNvSpPr txBox="1"/>
          </xdr:nvSpPr>
          <xdr:spPr>
            <a:xfrm>
              <a:off x="1196340" y="5261610"/>
              <a:ext cx="2689860" cy="467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1" i="0">
                  <a:latin typeface="Cambria Math" panose="02040503050406030204" pitchFamily="18" charset="0"/>
                </a:rPr>
                <a:t>𝐑𝒃=(𝑽𝒄𝒐𝒏𝒕𝒓𝒐𝒍 −</a:t>
              </a:r>
              <a:r>
                <a:rPr kumimoji="0" lang="en-US" sz="16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𝑽𝒃𝒆)/</a:t>
              </a:r>
              <a:r>
                <a:rPr kumimoji="0" lang="en-US" sz="14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𝑰𝒃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1</xdr:col>
      <xdr:colOff>68580</xdr:colOff>
      <xdr:row>20</xdr:row>
      <xdr:rowOff>110490</xdr:rowOff>
    </xdr:from>
    <xdr:ext cx="2689860" cy="4675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97451D9-B579-4177-BB6A-5917C8C67F37}"/>
                </a:ext>
              </a:extLst>
            </xdr:cNvPr>
            <xdr:cNvSpPr txBox="1"/>
          </xdr:nvSpPr>
          <xdr:spPr>
            <a:xfrm>
              <a:off x="1280160" y="3950970"/>
              <a:ext cx="2689860" cy="467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latin typeface="Cambria Math" panose="02040503050406030204" pitchFamily="18" charset="0"/>
                      </a:rPr>
                      <m:t>𝑰𝒃</m:t>
                    </m:r>
                    <m:r>
                      <a:rPr lang="en-US" sz="160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𝑰𝒄</m:t>
                        </m:r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 </m:t>
                        </m:r>
                      </m:num>
                      <m:den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𝑩</m:t>
                        </m:r>
                      </m:den>
                    </m:f>
                  </m:oMath>
                </m:oMathPara>
              </a14:m>
              <a:endParaRPr lang="en-US" sz="1600" b="1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97451D9-B579-4177-BB6A-5917C8C67F37}"/>
                </a:ext>
              </a:extLst>
            </xdr:cNvPr>
            <xdr:cNvSpPr txBox="1"/>
          </xdr:nvSpPr>
          <xdr:spPr>
            <a:xfrm>
              <a:off x="1280160" y="3950970"/>
              <a:ext cx="2689860" cy="467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1" i="0">
                  <a:latin typeface="Cambria Math" panose="02040503050406030204" pitchFamily="18" charset="0"/>
                </a:rPr>
                <a:t>𝑰𝒃=(𝑰𝒄 )/𝑩</a:t>
              </a:r>
              <a:endParaRPr lang="en-US" sz="16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A28" workbookViewId="0">
      <selection activeCell="A5" sqref="A5"/>
    </sheetView>
  </sheetViews>
  <sheetFormatPr defaultRowHeight="14.4" x14ac:dyDescent="0.3"/>
  <cols>
    <col min="1" max="1" width="23.21875" bestFit="1" customWidth="1"/>
    <col min="3" max="3" width="21.44140625" bestFit="1" customWidth="1"/>
    <col min="5" max="5" width="18.21875" bestFit="1" customWidth="1"/>
    <col min="9" max="9" width="12" bestFit="1" customWidth="1"/>
  </cols>
  <sheetData>
    <row r="1" spans="1:16" ht="18" x14ac:dyDescent="0.35">
      <c r="A1" s="1" t="s">
        <v>5</v>
      </c>
      <c r="C1" s="1" t="s">
        <v>4</v>
      </c>
      <c r="E1" s="1" t="s">
        <v>3</v>
      </c>
      <c r="I1" s="1" t="s">
        <v>13</v>
      </c>
    </row>
    <row r="2" spans="1:16" ht="18" x14ac:dyDescent="0.35">
      <c r="A2" t="s">
        <v>36</v>
      </c>
      <c r="C2" t="s">
        <v>0</v>
      </c>
      <c r="E2" t="s">
        <v>6</v>
      </c>
      <c r="F2" s="2">
        <v>45</v>
      </c>
      <c r="G2" s="3" t="s">
        <v>7</v>
      </c>
      <c r="I2" s="2" t="s">
        <v>15</v>
      </c>
      <c r="J2" s="2">
        <v>4</v>
      </c>
      <c r="K2" s="3" t="s">
        <v>7</v>
      </c>
      <c r="M2" s="12"/>
      <c r="N2" s="12"/>
      <c r="O2" s="12"/>
      <c r="P2" s="12"/>
    </row>
    <row r="3" spans="1:16" ht="18" x14ac:dyDescent="0.35">
      <c r="A3" t="s">
        <v>37</v>
      </c>
      <c r="C3" t="s">
        <v>1</v>
      </c>
      <c r="E3" t="s">
        <v>8</v>
      </c>
      <c r="F3" s="2">
        <v>100</v>
      </c>
      <c r="G3" s="3" t="s">
        <v>9</v>
      </c>
      <c r="I3" s="3" t="s">
        <v>14</v>
      </c>
      <c r="J3" s="2">
        <v>60</v>
      </c>
      <c r="K3" s="3" t="s">
        <v>9</v>
      </c>
    </row>
    <row r="4" spans="1:16" ht="18" x14ac:dyDescent="0.35">
      <c r="A4" t="s">
        <v>38</v>
      </c>
      <c r="C4" t="s">
        <v>2</v>
      </c>
      <c r="E4" t="s">
        <v>10</v>
      </c>
      <c r="F4" s="2">
        <v>500</v>
      </c>
      <c r="G4" s="3" t="s">
        <v>11</v>
      </c>
      <c r="I4" s="3" t="s">
        <v>17</v>
      </c>
      <c r="J4" s="2">
        <v>12</v>
      </c>
      <c r="K4" s="3" t="s">
        <v>7</v>
      </c>
      <c r="L4" s="11" t="s">
        <v>35</v>
      </c>
      <c r="M4" s="6"/>
      <c r="N4" s="6"/>
      <c r="O4" s="6"/>
      <c r="P4" s="6"/>
    </row>
    <row r="5" spans="1:16" ht="18" x14ac:dyDescent="0.35">
      <c r="E5" t="s">
        <v>12</v>
      </c>
      <c r="F5" s="2">
        <v>110</v>
      </c>
      <c r="G5" s="3"/>
      <c r="I5" s="3" t="s">
        <v>27</v>
      </c>
      <c r="J5" s="2">
        <v>5</v>
      </c>
      <c r="K5" s="3" t="s">
        <v>7</v>
      </c>
    </row>
    <row r="6" spans="1:16" ht="18" x14ac:dyDescent="0.35">
      <c r="E6" t="s">
        <v>18</v>
      </c>
      <c r="F6" s="2">
        <v>0.2</v>
      </c>
      <c r="G6" s="3" t="s">
        <v>7</v>
      </c>
    </row>
    <row r="7" spans="1:16" ht="18" x14ac:dyDescent="0.35">
      <c r="E7" t="s">
        <v>28</v>
      </c>
      <c r="F7" s="2">
        <v>0.7</v>
      </c>
      <c r="G7" s="3" t="s">
        <v>7</v>
      </c>
    </row>
    <row r="8" spans="1:16" x14ac:dyDescent="0.3">
      <c r="F8" s="2"/>
      <c r="G8" s="3"/>
    </row>
    <row r="9" spans="1:16" x14ac:dyDescent="0.3">
      <c r="F9" s="2"/>
      <c r="G9" s="2"/>
    </row>
    <row r="10" spans="1:16" ht="18" x14ac:dyDescent="0.35">
      <c r="B10" s="6" t="s">
        <v>21</v>
      </c>
      <c r="C10" s="6" t="s">
        <v>22</v>
      </c>
      <c r="D10" s="7">
        <f>J3</f>
        <v>60</v>
      </c>
      <c r="E10" s="6" t="s">
        <v>9</v>
      </c>
      <c r="F10" s="11" t="s">
        <v>34</v>
      </c>
      <c r="G10" s="7"/>
      <c r="H10" s="6"/>
      <c r="I10" s="6"/>
    </row>
    <row r="11" spans="1:16" x14ac:dyDescent="0.3">
      <c r="F11" s="2"/>
      <c r="G11" s="2"/>
    </row>
    <row r="17" spans="2:7" ht="18" x14ac:dyDescent="0.35">
      <c r="B17" s="4" t="s">
        <v>16</v>
      </c>
      <c r="C17" s="4">
        <f>(J4-J2-F6)/(J3*10^-3)</f>
        <v>130</v>
      </c>
      <c r="D17" s="5" t="s">
        <v>19</v>
      </c>
      <c r="E17" s="6" t="s">
        <v>20</v>
      </c>
      <c r="F17" s="6"/>
      <c r="G17" s="6"/>
    </row>
    <row r="23" spans="2:7" x14ac:dyDescent="0.3">
      <c r="E23" t="s">
        <v>23</v>
      </c>
    </row>
    <row r="24" spans="2:7" x14ac:dyDescent="0.3">
      <c r="E24" t="s">
        <v>24</v>
      </c>
      <c r="F24" s="2">
        <v>10</v>
      </c>
    </row>
    <row r="26" spans="2:7" ht="18" x14ac:dyDescent="0.35">
      <c r="B26" s="4" t="s">
        <v>25</v>
      </c>
      <c r="C26" s="4">
        <f>D10/F24</f>
        <v>6</v>
      </c>
      <c r="D26" s="5" t="s">
        <v>9</v>
      </c>
    </row>
    <row r="33" spans="2:8" ht="18" x14ac:dyDescent="0.35">
      <c r="B33" s="4" t="s">
        <v>26</v>
      </c>
      <c r="C33" s="4">
        <f>(J5-F7)/(C26*10^-3)</f>
        <v>716.66666666666663</v>
      </c>
      <c r="D33" s="5" t="s">
        <v>19</v>
      </c>
      <c r="E33" s="6" t="s">
        <v>29</v>
      </c>
      <c r="F33" s="6"/>
      <c r="G33" s="6"/>
    </row>
    <row r="35" spans="2:8" ht="18" x14ac:dyDescent="0.35">
      <c r="B35" s="8" t="s">
        <v>30</v>
      </c>
      <c r="C35" s="8" t="s">
        <v>31</v>
      </c>
    </row>
    <row r="37" spans="2:8" ht="18" x14ac:dyDescent="0.35">
      <c r="B37" s="9" t="s">
        <v>32</v>
      </c>
      <c r="C37" s="10">
        <f>D10*F6</f>
        <v>12</v>
      </c>
      <c r="D37" s="11" t="s">
        <v>11</v>
      </c>
      <c r="E37" s="11" t="s">
        <v>33</v>
      </c>
      <c r="F37" s="11"/>
      <c r="G37" s="11"/>
      <c r="H37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Gamal Mahmoud</dc:creator>
  <cp:lastModifiedBy>Mahmoud Gamal Mahmoud</cp:lastModifiedBy>
  <dcterms:created xsi:type="dcterms:W3CDTF">2015-06-05T18:17:20Z</dcterms:created>
  <dcterms:modified xsi:type="dcterms:W3CDTF">2025-11-22T19:59:06Z</dcterms:modified>
</cp:coreProperties>
</file>